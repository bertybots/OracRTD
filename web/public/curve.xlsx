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bertybots\OracRTD\web\public\"/>
    </mc:Choice>
  </mc:AlternateContent>
  <xr:revisionPtr revIDLastSave="0" documentId="13_ncr:1_{02AD7F86-1065-4444-AD79-B166FF3995FD}" xr6:coauthVersionLast="45" xr6:coauthVersionMax="45" xr10:uidLastSave="{00000000-0000-0000-0000-000000000000}"/>
  <bookViews>
    <workbookView xWindow="3120" yWindow="0" windowWidth="27780" windowHeight="21000" activeTab="3" xr2:uid="{6CF590DF-C69D-4E19-9604-D4A300C2BE28}"/>
  </bookViews>
  <sheets>
    <sheet name="CURVES_BBG" sheetId="1" r:id="rId1"/>
    <sheet name="CURVES_STATIC" sheetId="2" r:id="rId2"/>
    <sheet name="EURBASICCURVE_BBG" sheetId="3" r:id="rId3"/>
    <sheet name="EURBASICCURVE_STAT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4" l="1" a="1"/>
  <c r="M1" i="4"/>
  <c r="M2" i="4" a="1"/>
  <c r="M2" i="4" l="1"/>
  <c r="N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M50" i="4"/>
  <c r="N50" i="4"/>
  <c r="M51" i="4"/>
  <c r="N51" i="4"/>
  <c r="M52" i="4"/>
  <c r="N52" i="4"/>
  <c r="M53" i="4"/>
  <c r="N53" i="4"/>
  <c r="M54" i="4"/>
  <c r="N54" i="4"/>
  <c r="M55" i="4"/>
  <c r="N55" i="4"/>
  <c r="M56" i="4"/>
  <c r="N56" i="4"/>
  <c r="M57" i="4"/>
  <c r="N57" i="4"/>
  <c r="M58" i="4"/>
  <c r="N58" i="4"/>
  <c r="M59" i="4"/>
  <c r="N59" i="4"/>
  <c r="M60" i="4"/>
  <c r="N60" i="4"/>
  <c r="M61" i="4"/>
  <c r="N61" i="4"/>
  <c r="M62" i="4"/>
  <c r="N62" i="4"/>
  <c r="M63" i="4"/>
  <c r="N63" i="4"/>
  <c r="M64" i="4"/>
  <c r="N64" i="4"/>
  <c r="M65" i="4"/>
  <c r="N65" i="4"/>
  <c r="M66" i="4"/>
  <c r="N66" i="4"/>
  <c r="M67" i="4"/>
  <c r="N67" i="4"/>
  <c r="M68" i="4"/>
  <c r="N68" i="4"/>
  <c r="J9" i="4" l="1"/>
  <c r="K9" i="4" s="1" a="1"/>
  <c r="K9" i="4" s="1"/>
  <c r="J38" i="4"/>
  <c r="K38" i="4" s="1" a="1"/>
  <c r="K38" i="4" s="1"/>
  <c r="J44" i="4"/>
  <c r="K44" i="4" s="1" a="1"/>
  <c r="K44" i="4" s="1"/>
  <c r="J24" i="4"/>
  <c r="K24" i="4" s="1" a="1"/>
  <c r="K24" i="4" s="1"/>
  <c r="J17" i="4"/>
  <c r="K17" i="4" s="1" a="1"/>
  <c r="K17" i="4" s="1"/>
  <c r="J15" i="4"/>
  <c r="K15" i="4" s="1" a="1"/>
  <c r="K15" i="4" s="1"/>
  <c r="J18" i="4"/>
  <c r="K18" i="4" s="1" a="1"/>
  <c r="K18" i="4" s="1"/>
  <c r="J34" i="4"/>
  <c r="K34" i="4" s="1" a="1"/>
  <c r="K34" i="4" s="1"/>
  <c r="J10" i="4"/>
  <c r="K10" i="4" s="1" a="1"/>
  <c r="K10" i="4" s="1"/>
  <c r="J23" i="4"/>
  <c r="K23" i="4" s="1" a="1"/>
  <c r="K23" i="4" s="1"/>
  <c r="J41" i="4"/>
  <c r="K41" i="4" s="1" a="1"/>
  <c r="K41" i="4" s="1"/>
  <c r="J36" i="4"/>
  <c r="K36" i="4" s="1" a="1"/>
  <c r="K36" i="4" s="1"/>
  <c r="J11" i="4"/>
  <c r="K11" i="4" s="1" a="1"/>
  <c r="K11" i="4" s="1"/>
  <c r="J29" i="4"/>
  <c r="K29" i="4" s="1" a="1"/>
  <c r="K29" i="4" s="1"/>
  <c r="J37" i="4"/>
  <c r="K37" i="4" s="1" a="1"/>
  <c r="K37" i="4" s="1"/>
  <c r="J12" i="4"/>
  <c r="K12" i="4" s="1" a="1"/>
  <c r="K12" i="4" s="1"/>
  <c r="J25" i="4"/>
  <c r="K25" i="4" s="1" a="1"/>
  <c r="K25" i="4" s="1"/>
  <c r="J16" i="4"/>
  <c r="K16" i="4" s="1" a="1"/>
  <c r="K16" i="4" s="1"/>
  <c r="J13" i="4"/>
  <c r="K13" i="4" s="1" a="1"/>
  <c r="K13" i="4" s="1"/>
  <c r="J28" i="4"/>
  <c r="K28" i="4" s="1" a="1"/>
  <c r="K28" i="4" s="1"/>
  <c r="J30" i="4"/>
  <c r="K30" i="4" s="1" a="1"/>
  <c r="K30" i="4" s="1"/>
  <c r="J43" i="4"/>
  <c r="K43" i="4" s="1" a="1"/>
  <c r="K43" i="4" s="1"/>
  <c r="J42" i="4"/>
  <c r="K42" i="4" s="1" a="1"/>
  <c r="K42" i="4" s="1"/>
  <c r="J26" i="4"/>
  <c r="K26" i="4" s="1" a="1"/>
  <c r="K26" i="4" s="1"/>
  <c r="J7" i="4"/>
  <c r="K7" i="4" s="1" a="1"/>
  <c r="K7" i="4" s="1"/>
  <c r="J39" i="4"/>
  <c r="K39" i="4" s="1" a="1"/>
  <c r="K39" i="4" s="1"/>
  <c r="J31" i="4"/>
  <c r="K31" i="4" s="1" a="1"/>
  <c r="K31" i="4" s="1"/>
  <c r="J19" i="4"/>
  <c r="K19" i="4" s="1" a="1"/>
  <c r="K19" i="4" s="1"/>
  <c r="J14" i="4"/>
  <c r="K14" i="4" s="1" a="1"/>
  <c r="K14" i="4" s="1"/>
  <c r="J32" i="4"/>
  <c r="K32" i="4" s="1" a="1"/>
  <c r="K32" i="4" s="1"/>
  <c r="J27" i="4"/>
  <c r="K27" i="4" s="1" a="1"/>
  <c r="K27" i="4" s="1"/>
  <c r="J40" i="4"/>
  <c r="K40" i="4" s="1" a="1"/>
  <c r="K40" i="4" s="1"/>
  <c r="J8" i="4"/>
  <c r="K8" i="4" s="1" a="1"/>
  <c r="K8" i="4" s="1"/>
  <c r="J22" i="4"/>
  <c r="K22" i="4" s="1" a="1"/>
  <c r="K22" i="4" s="1"/>
  <c r="J6" i="4"/>
  <c r="K6" i="4" s="1" a="1"/>
  <c r="K6" i="4" s="1"/>
  <c r="J21" i="4"/>
  <c r="K21" i="4" s="1" a="1"/>
  <c r="K21" i="4" s="1"/>
  <c r="J35" i="4"/>
  <c r="K35" i="4" s="1" a="1"/>
  <c r="K35" i="4" s="1"/>
  <c r="B1" i="3"/>
  <c r="D36" i="3" a="1"/>
  <c r="F37" i="3" a="1"/>
  <c r="G37" i="3" a="1"/>
  <c r="D39" i="3" a="1"/>
  <c r="G40" i="3" a="1"/>
  <c r="F43" i="3" a="1"/>
  <c r="D43" i="3" a="1"/>
  <c r="F36" i="3" a="1"/>
  <c r="D42" i="3" a="1"/>
  <c r="G44" i="3" a="1"/>
  <c r="F38" i="3" a="1"/>
  <c r="D40" i="3" a="1"/>
  <c r="F40" i="3" a="1"/>
  <c r="G36" i="3" a="1"/>
  <c r="D38" i="3" a="1"/>
  <c r="F39" i="3" a="1"/>
  <c r="D41" i="3" a="1"/>
  <c r="F42" i="3" a="1"/>
  <c r="G43" i="3" a="1"/>
  <c r="D37" i="3" a="1"/>
  <c r="G39" i="3" a="1"/>
  <c r="F41" i="3" a="1"/>
  <c r="G42" i="3" a="1"/>
  <c r="G41" i="3" a="1"/>
  <c r="F44" i="3" a="1"/>
  <c r="D44" i="3" a="1"/>
  <c r="G38" i="3" a="1"/>
  <c r="G35" i="3" a="1"/>
  <c r="D35" i="3" a="1"/>
  <c r="G34" i="3" a="1"/>
  <c r="D34" i="3" a="1"/>
  <c r="G24" i="3" a="1"/>
  <c r="D29" i="3" a="1"/>
  <c r="G31" i="3" a="1"/>
  <c r="F27" i="3" a="1"/>
  <c r="D25" i="3" a="1"/>
  <c r="F26" i="3" a="1"/>
  <c r="G27" i="3" a="1"/>
  <c r="D28" i="3" a="1"/>
  <c r="F29" i="3" a="1"/>
  <c r="G30" i="3" a="1"/>
  <c r="D32" i="3" a="1"/>
  <c r="D24" i="3" a="1"/>
  <c r="F25" i="3" a="1"/>
  <c r="G26" i="3" a="1"/>
  <c r="F28" i="3" a="1"/>
  <c r="G29" i="3" a="1"/>
  <c r="D31" i="3" a="1"/>
  <c r="F32" i="3" a="1"/>
  <c r="F24" i="3" a="1"/>
  <c r="G25" i="3" a="1"/>
  <c r="D27" i="3" a="1"/>
  <c r="G28" i="3" a="1"/>
  <c r="D30" i="3" a="1"/>
  <c r="F31" i="3" a="1"/>
  <c r="G32" i="3" a="1"/>
  <c r="D26" i="3" a="1"/>
  <c r="F30" i="3" a="1"/>
  <c r="G23" i="3" a="1"/>
  <c r="F23" i="3" a="1"/>
  <c r="D23" i="3" a="1"/>
  <c r="G22" i="3" a="1"/>
  <c r="G21" i="3" a="1"/>
  <c r="D21" i="3" a="1"/>
  <c r="D22" i="3" a="1"/>
  <c r="G9" i="3" a="1"/>
  <c r="G8" i="3" a="1"/>
  <c r="G6" i="3" a="1"/>
  <c r="G7" i="3" a="1"/>
  <c r="D9" i="3" a="1"/>
  <c r="D8" i="3" a="1"/>
  <c r="D7" i="3" a="1"/>
  <c r="D6" i="3" a="1"/>
  <c r="D14" i="3" a="1"/>
  <c r="D15" i="3" a="1"/>
  <c r="D17" i="3" a="1"/>
  <c r="D19" i="3" a="1"/>
  <c r="G14" i="3" a="1"/>
  <c r="G17" i="3" a="1"/>
  <c r="G19" i="3" a="1"/>
  <c r="D16" i="3" a="1"/>
  <c r="G18" i="3" a="1"/>
  <c r="G15" i="3" a="1"/>
  <c r="D18" i="3" a="1"/>
  <c r="G16" i="3" a="1"/>
  <c r="G11" i="3" a="1"/>
  <c r="G13" i="3" a="1"/>
  <c r="D13" i="3" a="1"/>
  <c r="G12" i="3" a="1"/>
  <c r="D10" i="3" a="1"/>
  <c r="D11" i="3" a="1"/>
  <c r="G10" i="3" a="1"/>
  <c r="D12" i="3" a="1"/>
  <c r="M26" i="1" a="1"/>
  <c r="M27" i="1" a="1"/>
  <c r="M28" i="1" a="1"/>
  <c r="M29" i="1" a="1"/>
  <c r="M83" i="1" a="1"/>
  <c r="M81" i="1" a="1"/>
  <c r="M82" i="1" a="1"/>
  <c r="M95" i="1" a="1"/>
  <c r="M97" i="1" a="1"/>
  <c r="M84" i="1" a="1"/>
  <c r="M86" i="1" a="1"/>
  <c r="M85" i="1" a="1"/>
  <c r="M96" i="1" a="1"/>
  <c r="M94" i="1" a="1"/>
  <c r="M79" i="1" a="1"/>
  <c r="M93" i="1" a="1"/>
  <c r="M126" i="1" a="1"/>
  <c r="M122" i="1" a="1"/>
  <c r="M40" i="1" a="1"/>
  <c r="M43" i="1" a="1"/>
  <c r="O47" i="1" a="1"/>
  <c r="M45" i="1" a="1"/>
  <c r="M34" i="1" a="1"/>
  <c r="M38" i="1" a="1"/>
  <c r="O37" i="1" a="1"/>
  <c r="O42" i="1" a="1"/>
  <c r="M134" i="1" a="1"/>
  <c r="M123" i="1" a="1"/>
  <c r="O41" i="1" a="1"/>
  <c r="O44" i="1" a="1"/>
  <c r="O34" i="1" a="1"/>
  <c r="M33" i="1" a="1"/>
  <c r="M41" i="1" a="1"/>
  <c r="M32" i="1" a="1"/>
  <c r="O45" i="1" a="1"/>
  <c r="O31" i="1" a="1"/>
  <c r="M39" i="1" a="1"/>
  <c r="M87" i="1" a="1"/>
  <c r="M90" i="1" a="1"/>
  <c r="M135" i="1" a="1"/>
  <c r="O124" i="1" a="1"/>
  <c r="M44" i="1" a="1"/>
  <c r="M47" i="1" a="1"/>
  <c r="O38" i="1" a="1"/>
  <c r="O46" i="1" a="1"/>
  <c r="O43" i="1" a="1"/>
  <c r="M37" i="1" a="1"/>
  <c r="M42" i="1" a="1"/>
  <c r="M91" i="1" a="1"/>
  <c r="M92" i="1" a="1"/>
  <c r="M78" i="1" a="1"/>
  <c r="M127" i="1" a="1"/>
  <c r="M124" i="1" a="1"/>
  <c r="M35" i="1" a="1"/>
  <c r="O48" i="1" a="1"/>
  <c r="O39" i="1" a="1"/>
  <c r="O40" i="1" a="1"/>
  <c r="O36" i="1" a="1"/>
  <c r="O126" i="1" a="1"/>
  <c r="O134" i="1" a="1"/>
  <c r="M125" i="1" a="1"/>
  <c r="M88" i="1" a="1"/>
  <c r="O127" i="1" a="1"/>
  <c r="O122" i="1" a="1"/>
  <c r="O33" i="1" a="1"/>
  <c r="O32" i="1" a="1"/>
  <c r="O35" i="1" a="1"/>
  <c r="M46" i="1" a="1"/>
  <c r="M48" i="1" a="1"/>
  <c r="M36" i="1" a="1"/>
  <c r="M89" i="1" a="1"/>
  <c r="M80" i="1" a="1"/>
  <c r="O135" i="1" a="1"/>
  <c r="O125" i="1" a="1"/>
  <c r="O123" i="1" a="1"/>
  <c r="M31" i="1" a="1"/>
  <c r="O131" i="1" a="1"/>
  <c r="O133" i="1" a="1"/>
  <c r="M128" i="1" a="1"/>
  <c r="M130" i="1" a="1"/>
  <c r="M131" i="1" a="1"/>
  <c r="O120" i="1" a="1"/>
  <c r="O128" i="1" a="1"/>
  <c r="O121" i="1" a="1"/>
  <c r="M121" i="1" a="1"/>
  <c r="M120" i="1" a="1"/>
  <c r="O130" i="1" a="1"/>
  <c r="O129" i="1" a="1"/>
  <c r="M129" i="1" a="1"/>
  <c r="O119" i="1" a="1"/>
  <c r="M119" i="1" a="1"/>
  <c r="M133" i="1" a="1"/>
  <c r="M132" i="1" a="1"/>
  <c r="O132" i="1" a="1"/>
  <c r="D197" i="1" a="1"/>
  <c r="F196" i="1" a="1"/>
  <c r="F199" i="1" a="1"/>
  <c r="F198" i="1" a="1"/>
  <c r="D196" i="1" a="1"/>
  <c r="D200" i="1" a="1"/>
  <c r="D198" i="1" a="1"/>
  <c r="F197" i="1" a="1"/>
  <c r="D199" i="1" a="1"/>
  <c r="F200" i="1" a="1"/>
  <c r="F210" i="1" a="1"/>
  <c r="F134" i="1" a="1"/>
  <c r="D132" i="1" a="1"/>
  <c r="F132" i="1" a="1"/>
  <c r="F127" i="1" a="1"/>
  <c r="D36" i="1" a="1"/>
  <c r="F35" i="1" a="1"/>
  <c r="F39" i="1" a="1"/>
  <c r="D210" i="1" a="1"/>
  <c r="F120" i="1" a="1"/>
  <c r="D47" i="1" a="1"/>
  <c r="F126" i="1" a="1"/>
  <c r="F213" i="1" a="1"/>
  <c r="D135" i="1" a="1"/>
  <c r="D123" i="1" a="1"/>
  <c r="D129" i="1" a="1"/>
  <c r="F131" i="1" a="1"/>
  <c r="F37" i="1" a="1"/>
  <c r="D38" i="1" a="1"/>
  <c r="F121" i="1" a="1"/>
  <c r="D122" i="1" a="1"/>
  <c r="D46" i="1" a="1"/>
  <c r="D202" i="1" a="1"/>
  <c r="D211" i="1" a="1"/>
  <c r="D120" i="1" a="1"/>
  <c r="D133" i="1" a="1"/>
  <c r="F133" i="1" a="1"/>
  <c r="D125" i="1" a="1"/>
  <c r="F46" i="1" a="1"/>
  <c r="F202" i="1" a="1"/>
  <c r="F130" i="1" a="1"/>
  <c r="D131" i="1" a="1"/>
  <c r="F211" i="1" a="1"/>
  <c r="D213" i="1" a="1"/>
  <c r="D124" i="1" a="1"/>
  <c r="F124" i="1" a="1"/>
  <c r="F123" i="1" a="1"/>
  <c r="D121" i="1" a="1"/>
  <c r="D35" i="1" a="1"/>
  <c r="F38" i="1" a="1"/>
  <c r="F212" i="1" a="1"/>
  <c r="D134" i="1" a="1"/>
  <c r="F128" i="1" a="1"/>
  <c r="D39" i="1" a="1"/>
  <c r="D209" i="1" a="1"/>
  <c r="F129" i="1" a="1"/>
  <c r="D119" i="1" a="1"/>
  <c r="D212" i="1" a="1"/>
  <c r="F209" i="1" a="1"/>
  <c r="F125" i="1" a="1"/>
  <c r="D127" i="1" a="1"/>
  <c r="D126" i="1" a="1"/>
  <c r="F122" i="1" a="1"/>
  <c r="F36" i="1" a="1"/>
  <c r="D37" i="1" a="1"/>
  <c r="F201" i="1" a="1"/>
  <c r="D128" i="1" a="1"/>
  <c r="D130" i="1" a="1"/>
  <c r="F119" i="1" a="1"/>
  <c r="D201" i="1" a="1"/>
  <c r="F135" i="1" a="1"/>
  <c r="F47" i="1" a="1"/>
  <c r="D217" i="1" a="1"/>
  <c r="F205" i="1" a="1"/>
  <c r="F206" i="1" a="1"/>
  <c r="P110" i="1" a="1"/>
  <c r="P114" i="1" a="1"/>
  <c r="M107" i="1" a="1"/>
  <c r="G117" i="1" a="1"/>
  <c r="D112" i="1" a="1"/>
  <c r="G112" i="1" a="1"/>
  <c r="N27" i="1" a="1"/>
  <c r="O29" i="1" a="1"/>
  <c r="F41" i="1" a="1"/>
  <c r="F34" i="1" a="1"/>
  <c r="D208" i="1" a="1"/>
  <c r="F214" i="1" a="1"/>
  <c r="M108" i="1" a="1"/>
  <c r="M112" i="1" a="1"/>
  <c r="M117" i="1" a="1"/>
  <c r="D107" i="1" a="1"/>
  <c r="G108" i="1" a="1"/>
  <c r="D110" i="1" a="1"/>
  <c r="O26" i="1" a="1"/>
  <c r="M109" i="1" a="1"/>
  <c r="F203" i="1" a="1"/>
  <c r="D204" i="1" a="1"/>
  <c r="M110" i="1" a="1"/>
  <c r="P106" i="1" a="1"/>
  <c r="P115" i="1" a="1"/>
  <c r="D109" i="1" a="1"/>
  <c r="G109" i="1" a="1"/>
  <c r="G110" i="1" a="1"/>
  <c r="O27" i="1" a="1"/>
  <c r="P26" i="1" a="1"/>
  <c r="F45" i="1" a="1"/>
  <c r="F40" i="1" a="1"/>
  <c r="F42" i="1" a="1"/>
  <c r="F216" i="1" a="1"/>
  <c r="M115" i="1" a="1"/>
  <c r="P107" i="1" a="1"/>
  <c r="D113" i="1" a="1"/>
  <c r="F33" i="1" a="1"/>
  <c r="F43" i="1" a="1"/>
  <c r="M100" i="1" a="1"/>
  <c r="G114" i="1" a="1"/>
  <c r="D215" i="1" a="1"/>
  <c r="D206" i="1" a="1"/>
  <c r="F204" i="1" a="1"/>
  <c r="M106" i="1" a="1"/>
  <c r="P111" i="1" a="1"/>
  <c r="P116" i="1" a="1"/>
  <c r="P117" i="1" a="1"/>
  <c r="D111" i="1" a="1"/>
  <c r="G113" i="1" a="1"/>
  <c r="D106" i="1" a="1"/>
  <c r="P28" i="1" a="1"/>
  <c r="D32" i="1" a="1"/>
  <c r="D43" i="1" a="1"/>
  <c r="D42" i="1" a="1"/>
  <c r="D31" i="1" a="1"/>
  <c r="G198" i="1" a="1"/>
  <c r="F207" i="1" a="1"/>
  <c r="F208" i="1" a="1"/>
  <c r="D203" i="1" a="1"/>
  <c r="M113" i="1" a="1"/>
  <c r="M114" i="1" a="1"/>
  <c r="M111" i="1" a="1"/>
  <c r="D114" i="1" a="1"/>
  <c r="G106" i="1" a="1"/>
  <c r="N26" i="1" a="1"/>
  <c r="F44" i="1" a="1"/>
  <c r="D207" i="1" a="1"/>
  <c r="P108" i="1" a="1"/>
  <c r="D115" i="1" a="1"/>
  <c r="D33" i="1" a="1"/>
  <c r="F217" i="1" a="1"/>
  <c r="D205" i="1" a="1"/>
  <c r="P100" i="1" a="1"/>
  <c r="D117" i="1" a="1"/>
  <c r="G111" i="1" a="1"/>
  <c r="G107" i="1" a="1"/>
  <c r="O28" i="1" a="1"/>
  <c r="F32" i="1" a="1"/>
  <c r="D45" i="1" a="1"/>
  <c r="F215" i="1" a="1"/>
  <c r="D214" i="1" a="1"/>
  <c r="M116" i="1" a="1"/>
  <c r="P113" i="1" a="1"/>
  <c r="P109" i="1" a="1"/>
  <c r="G116" i="1" a="1"/>
  <c r="D108" i="1" a="1"/>
  <c r="G115" i="1" a="1"/>
  <c r="P29" i="1" a="1"/>
  <c r="P27" i="1" a="1"/>
  <c r="D40" i="1" a="1"/>
  <c r="D34" i="1" a="1"/>
  <c r="D41" i="1" a="1"/>
  <c r="N28" i="1" a="1"/>
  <c r="D44" i="1" a="1"/>
  <c r="D216" i="1" a="1"/>
  <c r="P112" i="1" a="1"/>
  <c r="D116" i="1" a="1"/>
  <c r="N29" i="1" a="1"/>
  <c r="G208" i="1" a="1"/>
  <c r="G214" i="1" a="1"/>
  <c r="G211" i="1" a="1"/>
  <c r="G134" i="1" a="1"/>
  <c r="G130" i="1" a="1"/>
  <c r="P122" i="1" a="1"/>
  <c r="G127" i="1" a="1"/>
  <c r="G217" i="1" a="1"/>
  <c r="G216" i="1" a="1"/>
  <c r="P127" i="1" a="1"/>
  <c r="G199" i="1" a="1"/>
  <c r="G128" i="1" a="1"/>
  <c r="G210" i="1" a="1"/>
  <c r="G209" i="1" a="1"/>
  <c r="G213" i="1" a="1"/>
  <c r="G212" i="1" a="1"/>
  <c r="G206" i="1" a="1"/>
  <c r="G133" i="1" a="1"/>
  <c r="G207" i="1" a="1"/>
  <c r="G126" i="1" a="1"/>
  <c r="P120" i="1" a="1"/>
  <c r="G197" i="1" a="1"/>
  <c r="G203" i="1" a="1"/>
  <c r="G125" i="1" a="1"/>
  <c r="P35" i="1" a="1"/>
  <c r="G135" i="1" a="1"/>
  <c r="P31" i="1" a="1"/>
  <c r="G204" i="1" a="1"/>
  <c r="G202" i="1" a="1"/>
  <c r="G122" i="1" a="1"/>
  <c r="P41" i="1" a="1"/>
  <c r="P40" i="1" a="1"/>
  <c r="G196" i="1" a="1"/>
  <c r="P124" i="1" a="1"/>
  <c r="P125" i="1" a="1"/>
  <c r="G129" i="1" a="1"/>
  <c r="G119" i="1" a="1"/>
  <c r="G45" i="1" a="1"/>
  <c r="G131" i="1" a="1"/>
  <c r="P34" i="1" a="1"/>
  <c r="G205" i="1" a="1"/>
  <c r="G132" i="1" a="1"/>
  <c r="G44" i="1" a="1"/>
  <c r="P123" i="1" a="1"/>
  <c r="G123" i="1" a="1"/>
  <c r="P119" i="1" a="1"/>
  <c r="P121" i="1" a="1"/>
  <c r="P47" i="1" a="1"/>
  <c r="G124" i="1" a="1"/>
  <c r="G200" i="1" a="1"/>
  <c r="G201" i="1" a="1"/>
  <c r="G121" i="1" a="1"/>
  <c r="G120" i="1" a="1"/>
  <c r="P32" i="1" a="1"/>
  <c r="P36" i="1" a="1"/>
  <c r="P134" i="1" a="1"/>
  <c r="P135" i="1" a="1"/>
  <c r="P33" i="1" a="1"/>
  <c r="G47" i="1" a="1"/>
  <c r="G38" i="1" a="1"/>
  <c r="G33" i="1" a="1"/>
  <c r="P37" i="1" a="1"/>
  <c r="P45" i="1" a="1"/>
  <c r="G37" i="1" a="1"/>
  <c r="G39" i="1" a="1"/>
  <c r="P42" i="1" a="1"/>
  <c r="P48" i="1" a="1"/>
  <c r="G215" i="1" a="1"/>
  <c r="P38" i="1" a="1"/>
  <c r="G34" i="1" a="1"/>
  <c r="G36" i="1" a="1"/>
  <c r="P132" i="1" a="1"/>
  <c r="P39" i="1" a="1"/>
  <c r="G46" i="1" a="1"/>
  <c r="P44" i="1" a="1"/>
  <c r="P128" i="1" a="1"/>
  <c r="P130" i="1" a="1"/>
  <c r="P131" i="1" a="1"/>
  <c r="G41" i="1" a="1"/>
  <c r="G32" i="1" a="1"/>
  <c r="G43" i="1" a="1"/>
  <c r="P133" i="1" a="1"/>
  <c r="P129" i="1" a="1"/>
  <c r="G42" i="1" a="1"/>
  <c r="P43" i="1" a="1"/>
  <c r="G35" i="1" a="1"/>
  <c r="P126" i="1" a="1"/>
  <c r="G40" i="1" a="1"/>
  <c r="P46" i="1" a="1"/>
  <c r="G38" i="3" l="1"/>
  <c r="D44" i="3"/>
  <c r="F44" i="3"/>
  <c r="G41" i="3"/>
  <c r="G42" i="3"/>
  <c r="F41" i="3"/>
  <c r="G39" i="3"/>
  <c r="D37" i="3"/>
  <c r="G43" i="3"/>
  <c r="F42" i="3"/>
  <c r="D41" i="3"/>
  <c r="F39" i="3"/>
  <c r="D38" i="3"/>
  <c r="G36" i="3"/>
  <c r="F40" i="3"/>
  <c r="D40" i="3"/>
  <c r="F38" i="3"/>
  <c r="G44" i="3"/>
  <c r="D42" i="3"/>
  <c r="F36" i="3"/>
  <c r="D43" i="3"/>
  <c r="F43" i="3"/>
  <c r="G40" i="3"/>
  <c r="D39" i="3"/>
  <c r="G37" i="3"/>
  <c r="F37" i="3"/>
  <c r="D36" i="3"/>
  <c r="D35" i="3"/>
  <c r="G35" i="3"/>
  <c r="D34" i="3"/>
  <c r="G34" i="3"/>
  <c r="F30" i="3"/>
  <c r="D26" i="3"/>
  <c r="G32" i="3"/>
  <c r="F31" i="3"/>
  <c r="D30" i="3"/>
  <c r="G28" i="3"/>
  <c r="D27" i="3"/>
  <c r="G25" i="3"/>
  <c r="F24" i="3"/>
  <c r="F32" i="3"/>
  <c r="D31" i="3"/>
  <c r="G29" i="3"/>
  <c r="F28" i="3"/>
  <c r="G26" i="3"/>
  <c r="F25" i="3"/>
  <c r="D24" i="3"/>
  <c r="D32" i="3"/>
  <c r="G30" i="3"/>
  <c r="F29" i="3"/>
  <c r="D28" i="3"/>
  <c r="G27" i="3"/>
  <c r="F26" i="3"/>
  <c r="D25" i="3"/>
  <c r="F27" i="3"/>
  <c r="G31" i="3"/>
  <c r="D29" i="3"/>
  <c r="G24" i="3"/>
  <c r="D23" i="3"/>
  <c r="F23" i="3"/>
  <c r="G23" i="3"/>
  <c r="G22" i="3"/>
  <c r="D21" i="3"/>
  <c r="G21" i="3"/>
  <c r="D22" i="3"/>
  <c r="G7" i="3"/>
  <c r="G6" i="3"/>
  <c r="G8" i="3"/>
  <c r="G9" i="3"/>
  <c r="D9" i="3"/>
  <c r="D8" i="3"/>
  <c r="D7" i="3"/>
  <c r="D6" i="3"/>
  <c r="G16" i="3"/>
  <c r="D18" i="3"/>
  <c r="G15" i="3"/>
  <c r="G18" i="3"/>
  <c r="D16" i="3"/>
  <c r="G19" i="3"/>
  <c r="G17" i="3"/>
  <c r="G14" i="3"/>
  <c r="D19" i="3"/>
  <c r="D17" i="3"/>
  <c r="D15" i="3"/>
  <c r="D14" i="3"/>
  <c r="D12" i="3"/>
  <c r="G10" i="3"/>
  <c r="D11" i="3"/>
  <c r="D10" i="3"/>
  <c r="G12" i="3"/>
  <c r="D13" i="3"/>
  <c r="G13" i="3"/>
  <c r="G11" i="3"/>
  <c r="N58" i="1"/>
  <c r="N57" i="1"/>
  <c r="N56" i="1"/>
  <c r="N55" i="1"/>
  <c r="N54" i="1"/>
  <c r="N53" i="1"/>
  <c r="N52" i="1"/>
  <c r="B1" i="1"/>
  <c r="E58" i="1"/>
  <c r="E57" i="1"/>
  <c r="E56" i="1"/>
  <c r="E55" i="1"/>
  <c r="E54" i="1"/>
  <c r="E53" i="1"/>
  <c r="E52" i="1"/>
  <c r="M16" i="1" a="1"/>
  <c r="M25" i="1" a="1"/>
  <c r="M150" i="1" a="1"/>
  <c r="M19" i="1" a="1"/>
  <c r="M20" i="1" a="1"/>
  <c r="O141" i="1" a="1"/>
  <c r="M17" i="1" a="1"/>
  <c r="M24" i="1" a="1"/>
  <c r="M18" i="1" a="1"/>
  <c r="O151" i="1" a="1"/>
  <c r="M151" i="1" a="1"/>
  <c r="O150" i="1" a="1"/>
  <c r="M21" i="1" a="1"/>
  <c r="M22" i="1" a="1"/>
  <c r="M141" i="1" a="1"/>
  <c r="M15" i="1" a="1"/>
  <c r="O96" i="1" a="1"/>
  <c r="O83" i="1" a="1"/>
  <c r="O97" i="1" a="1"/>
  <c r="O85" i="1" a="1"/>
  <c r="M137" i="1" a="1"/>
  <c r="O84" i="1" a="1"/>
  <c r="O82" i="1" a="1"/>
  <c r="O95" i="1" a="1"/>
  <c r="O81" i="1" a="1"/>
  <c r="O86" i="1" a="1"/>
  <c r="M52" i="1" a="1"/>
  <c r="O89" i="1" a="1"/>
  <c r="O90" i="1" a="1"/>
  <c r="O92" i="1" a="1"/>
  <c r="O93" i="1" a="1"/>
  <c r="M138" i="1" a="1"/>
  <c r="M140" i="1" a="1"/>
  <c r="M55" i="1" a="1"/>
  <c r="O80" i="1" a="1"/>
  <c r="O88" i="1" a="1"/>
  <c r="O87" i="1" a="1"/>
  <c r="M57" i="1" a="1"/>
  <c r="O94" i="1" a="1"/>
  <c r="M139" i="1" a="1"/>
  <c r="O79" i="1" a="1"/>
  <c r="M53" i="1" a="1"/>
  <c r="M56" i="1" a="1"/>
  <c r="O78" i="1" a="1"/>
  <c r="M54" i="1" a="1"/>
  <c r="M51" i="1" a="1"/>
  <c r="O91" i="1" a="1"/>
  <c r="O171" i="1" a="1"/>
  <c r="M169" i="1" a="1"/>
  <c r="M149" i="1" a="1"/>
  <c r="M160" i="1" a="1"/>
  <c r="O168" i="1" a="1"/>
  <c r="O146" i="1" a="1"/>
  <c r="M159" i="1" a="1"/>
  <c r="M170" i="1" a="1"/>
  <c r="M146" i="1" a="1"/>
  <c r="O148" i="1" a="1"/>
  <c r="O159" i="1" a="1"/>
  <c r="O169" i="1" a="1"/>
  <c r="O149" i="1" a="1"/>
  <c r="O160" i="1" a="1"/>
  <c r="O147" i="1" a="1"/>
  <c r="M168" i="1" a="1"/>
  <c r="M171" i="1" a="1"/>
  <c r="M147" i="1" a="1"/>
  <c r="M148" i="1" a="1"/>
  <c r="O170" i="1" a="1"/>
  <c r="O175" i="1" a="1"/>
  <c r="O164" i="1" a="1"/>
  <c r="M163" i="1" a="1"/>
  <c r="M173" i="1" a="1"/>
  <c r="O167" i="1" a="1"/>
  <c r="M166" i="1" a="1"/>
  <c r="O162" i="1" a="1"/>
  <c r="M161" i="1" a="1"/>
  <c r="M164" i="1" a="1"/>
  <c r="M174" i="1" a="1"/>
  <c r="M165" i="1" a="1"/>
  <c r="M162" i="1" a="1"/>
  <c r="M172" i="1" a="1"/>
  <c r="O166" i="1" a="1"/>
  <c r="O172" i="1" a="1"/>
  <c r="O165" i="1" a="1"/>
  <c r="O163" i="1" a="1"/>
  <c r="M175" i="1" a="1"/>
  <c r="O173" i="1" a="1"/>
  <c r="O161" i="1" a="1"/>
  <c r="O174" i="1" a="1"/>
  <c r="M167" i="1" a="1"/>
  <c r="O152" i="1" a="1"/>
  <c r="O157" i="1" a="1"/>
  <c r="O154" i="1" a="1"/>
  <c r="D21" i="1" a="1"/>
  <c r="M145" i="1" a="1"/>
  <c r="M143" i="1" a="1"/>
  <c r="O155" i="1" a="1"/>
  <c r="O145" i="1" a="1"/>
  <c r="M14" i="1" a="1"/>
  <c r="M156" i="1" a="1"/>
  <c r="M152" i="1" a="1"/>
  <c r="D22" i="1" a="1"/>
  <c r="D20" i="1" a="1"/>
  <c r="D17" i="1" a="1"/>
  <c r="M144" i="1" a="1"/>
  <c r="D140" i="1" a="1"/>
  <c r="O143" i="1" a="1"/>
  <c r="O144" i="1" a="1"/>
  <c r="M154" i="1" a="1"/>
  <c r="O142" i="1" a="1"/>
  <c r="M157" i="1" a="1"/>
  <c r="D18" i="1" a="1"/>
  <c r="O153" i="1" a="1"/>
  <c r="M23" i="1" a="1"/>
  <c r="O156" i="1" a="1"/>
  <c r="M153" i="1" a="1"/>
  <c r="D19" i="1" a="1"/>
  <c r="M142" i="1" a="1"/>
  <c r="D139" i="1" a="1"/>
  <c r="M155" i="1" a="1"/>
  <c r="F165" i="1" a="1"/>
  <c r="D171" i="1" a="1"/>
  <c r="F175" i="1" a="1"/>
  <c r="F93" i="1" a="1"/>
  <c r="F95" i="1" a="1"/>
  <c r="D94" i="1" a="1"/>
  <c r="D23" i="1" a="1"/>
  <c r="D55" i="1" a="1"/>
  <c r="D51" i="1" a="1"/>
  <c r="D52" i="1" a="1"/>
  <c r="D164" i="1" a="1"/>
  <c r="D24" i="1" a="1"/>
  <c r="D172" i="1" a="1"/>
  <c r="F172" i="1" a="1"/>
  <c r="D165" i="1" a="1"/>
  <c r="F97" i="1" a="1"/>
  <c r="F80" i="1" a="1"/>
  <c r="D83" i="1" a="1"/>
  <c r="D54" i="1" a="1"/>
  <c r="D56" i="1" a="1"/>
  <c r="D80" i="1" a="1"/>
  <c r="F83" i="1" a="1"/>
  <c r="D57" i="1" a="1"/>
  <c r="F173" i="1" a="1"/>
  <c r="D175" i="1" a="1"/>
  <c r="D138" i="1" a="1"/>
  <c r="F82" i="1" a="1"/>
  <c r="D81" i="1" a="1"/>
  <c r="D95" i="1" a="1"/>
  <c r="D58" i="1" a="1"/>
  <c r="D14" i="1" a="1"/>
  <c r="D174" i="1" a="1"/>
  <c r="F162" i="1" a="1"/>
  <c r="D173" i="1" a="1"/>
  <c r="F86" i="1" a="1"/>
  <c r="D85" i="1" a="1"/>
  <c r="D84" i="1" a="1"/>
  <c r="D15" i="1" a="1"/>
  <c r="D86" i="1" a="1"/>
  <c r="F174" i="1" a="1"/>
  <c r="D162" i="1" a="1"/>
  <c r="D137" i="1" a="1"/>
  <c r="F94" i="1" a="1"/>
  <c r="D93" i="1" a="1"/>
  <c r="D96" i="1" a="1"/>
  <c r="D16" i="1" a="1"/>
  <c r="D53" i="1" a="1"/>
  <c r="F85" i="1" a="1"/>
  <c r="D163" i="1" a="1"/>
  <c r="F163" i="1" a="1"/>
  <c r="F84" i="1" a="1"/>
  <c r="D97" i="1" a="1"/>
  <c r="F164" i="1" a="1"/>
  <c r="F161" i="1" a="1"/>
  <c r="D161" i="1" a="1"/>
  <c r="F171" i="1" a="1"/>
  <c r="F81" i="1" a="1"/>
  <c r="F96" i="1" a="1"/>
  <c r="D82" i="1" a="1"/>
  <c r="D25" i="1" a="1"/>
  <c r="D185" i="1" a="1"/>
  <c r="D160" i="1" a="1"/>
  <c r="D167" i="1" a="1"/>
  <c r="D159" i="1" a="1"/>
  <c r="F78" i="1" a="1"/>
  <c r="F92" i="1" a="1"/>
  <c r="D87" i="1" a="1"/>
  <c r="D91" i="1" a="1"/>
  <c r="F88" i="1" a="1"/>
  <c r="D193" i="1" a="1"/>
  <c r="D169" i="1" a="1"/>
  <c r="F168" i="1" a="1"/>
  <c r="D166" i="1" a="1"/>
  <c r="F159" i="1" a="1"/>
  <c r="D79" i="1" a="1"/>
  <c r="D92" i="1" a="1"/>
  <c r="D170" i="1" a="1"/>
  <c r="F184" i="1" a="1"/>
  <c r="F182" i="1" a="1"/>
  <c r="F167" i="1" a="1"/>
  <c r="F90" i="1" a="1"/>
  <c r="D184" i="1" a="1"/>
  <c r="D90" i="1" a="1"/>
  <c r="F87" i="1" a="1"/>
  <c r="F193" i="1" a="1"/>
  <c r="D168" i="1" a="1"/>
  <c r="F89" i="1" a="1"/>
  <c r="F91" i="1" a="1"/>
  <c r="D88" i="1" a="1"/>
  <c r="D183" i="1" a="1"/>
  <c r="D78" i="1" a="1"/>
  <c r="F185" i="1" a="1"/>
  <c r="F169" i="1" a="1"/>
  <c r="F170" i="1" a="1"/>
  <c r="F166" i="1" a="1"/>
  <c r="D182" i="1" a="1"/>
  <c r="F160" i="1" a="1"/>
  <c r="D89" i="1" a="1"/>
  <c r="F183" i="1" a="1"/>
  <c r="F79" i="1" a="1"/>
  <c r="D186" i="1" a="1"/>
  <c r="D145" i="1" a="1"/>
  <c r="F156" i="1" a="1"/>
  <c r="F148" i="1" a="1"/>
  <c r="D144" i="1" a="1"/>
  <c r="F144" i="1" a="1"/>
  <c r="F149" i="1" a="1"/>
  <c r="D177" i="1" a="1"/>
  <c r="D146" i="1" a="1"/>
  <c r="D148" i="1" a="1"/>
  <c r="F157" i="1" a="1"/>
  <c r="F177" i="1" a="1"/>
  <c r="F147" i="1" a="1"/>
  <c r="D156" i="1" a="1"/>
  <c r="F186" i="1" a="1"/>
  <c r="F146" i="1" a="1"/>
  <c r="F145" i="1" a="1"/>
  <c r="D149" i="1" a="1"/>
  <c r="D147" i="1" a="1"/>
  <c r="D157" i="1" a="1"/>
  <c r="F154" i="1" a="1"/>
  <c r="D150" i="1" a="1"/>
  <c r="D154" i="1" a="1"/>
  <c r="D192" i="1" a="1"/>
  <c r="F191" i="1" a="1"/>
  <c r="D188" i="1" a="1"/>
  <c r="F153" i="1" a="1"/>
  <c r="D151" i="1" a="1"/>
  <c r="D180" i="1" a="1"/>
  <c r="F181" i="1" a="1"/>
  <c r="D141" i="1" a="1"/>
  <c r="F178" i="1" a="1"/>
  <c r="D187" i="1" a="1"/>
  <c r="F180" i="1" a="1"/>
  <c r="D178" i="1" a="1"/>
  <c r="D179" i="1" a="1"/>
  <c r="F187" i="1" a="1"/>
  <c r="F192" i="1" a="1"/>
  <c r="D191" i="1" a="1"/>
  <c r="F151" i="1" a="1"/>
  <c r="F152" i="1" a="1"/>
  <c r="D143" i="1" a="1"/>
  <c r="F142" i="1" a="1"/>
  <c r="F141" i="1" a="1"/>
  <c r="F190" i="1" a="1"/>
  <c r="D153" i="1" a="1"/>
  <c r="D190" i="1" a="1"/>
  <c r="F150" i="1" a="1"/>
  <c r="F143" i="1" a="1"/>
  <c r="D181" i="1" a="1"/>
  <c r="D189" i="1" a="1"/>
  <c r="F189" i="1" a="1"/>
  <c r="F188" i="1" a="1"/>
  <c r="F155" i="1" a="1"/>
  <c r="D155" i="1" a="1"/>
  <c r="D142" i="1" a="1"/>
  <c r="F179" i="1" a="1"/>
  <c r="D152" i="1" a="1"/>
  <c r="D99" i="1" a="1"/>
  <c r="N24" i="1" a="1"/>
  <c r="P24" i="1" a="1"/>
  <c r="P22" i="1" a="1"/>
  <c r="P25" i="1" a="1"/>
  <c r="P84" i="1" a="1"/>
  <c r="M102" i="1" a="1"/>
  <c r="P83" i="1" a="1"/>
  <c r="G102" i="1" a="1"/>
  <c r="G17" i="1" a="1"/>
  <c r="G101" i="1" a="1"/>
  <c r="P101" i="1" a="1"/>
  <c r="N20" i="1" a="1"/>
  <c r="P89" i="1" a="1"/>
  <c r="P96" i="1" a="1"/>
  <c r="D103" i="1" a="1"/>
  <c r="O14" i="1" a="1"/>
  <c r="P19" i="1" a="1"/>
  <c r="O15" i="1" a="1"/>
  <c r="O16" i="1" a="1"/>
  <c r="P15" i="1" a="1"/>
  <c r="P80" i="1" a="1"/>
  <c r="P79" i="1" a="1"/>
  <c r="G100" i="1" a="1"/>
  <c r="G52" i="1" a="1"/>
  <c r="M104" i="1" a="1"/>
  <c r="G22" i="1" a="1"/>
  <c r="P14" i="1" a="1"/>
  <c r="P102" i="1" a="1"/>
  <c r="G51" i="1" a="1"/>
  <c r="N22" i="1" a="1"/>
  <c r="P21" i="1" a="1"/>
  <c r="O18" i="1" a="1"/>
  <c r="O17" i="1" a="1"/>
  <c r="P16" i="1" a="1"/>
  <c r="P78" i="1" a="1"/>
  <c r="P88" i="1" a="1"/>
  <c r="P99" i="1" a="1"/>
  <c r="D100" i="1" a="1"/>
  <c r="G57" i="1" a="1"/>
  <c r="G58" i="1" a="1"/>
  <c r="O24" i="1" a="1"/>
  <c r="N25" i="1" a="1"/>
  <c r="N16" i="1" a="1"/>
  <c r="N15" i="1" a="1"/>
  <c r="O20" i="1" a="1"/>
  <c r="O19" i="1" a="1"/>
  <c r="P23" i="1" a="1"/>
  <c r="P103" i="1" a="1"/>
  <c r="P85" i="1" a="1"/>
  <c r="P86" i="1" a="1"/>
  <c r="P104" i="1" a="1"/>
  <c r="P87" i="1" a="1"/>
  <c r="D104" i="1" a="1"/>
  <c r="D101" i="1" a="1"/>
  <c r="G20" i="1" a="1"/>
  <c r="G53" i="1" a="1"/>
  <c r="D102" i="1" a="1"/>
  <c r="N19" i="1" a="1"/>
  <c r="M103" i="1" a="1"/>
  <c r="M101" i="1" a="1"/>
  <c r="P18" i="1" a="1"/>
  <c r="G103" i="1" a="1"/>
  <c r="N17" i="1" a="1"/>
  <c r="N18" i="1" a="1"/>
  <c r="O21" i="1" a="1"/>
  <c r="O22" i="1" a="1"/>
  <c r="M99" i="1" a="1"/>
  <c r="P92" i="1" a="1"/>
  <c r="G18" i="1" a="1"/>
  <c r="O23" i="1" a="1"/>
  <c r="F31" i="1" a="1"/>
  <c r="N21" i="1" a="1"/>
  <c r="N23" i="1" a="1"/>
  <c r="O25" i="1" a="1"/>
  <c r="P17" i="1" a="1"/>
  <c r="N14" i="1" a="1"/>
  <c r="P93" i="1" a="1"/>
  <c r="P94" i="1" a="1"/>
  <c r="G104" i="1" a="1"/>
  <c r="G19" i="1" a="1"/>
  <c r="P20" i="1" a="1"/>
  <c r="P157" i="1" a="1"/>
  <c r="G162" i="1" a="1"/>
  <c r="G144" i="1" a="1"/>
  <c r="G143" i="1" a="1"/>
  <c r="G56" i="1" a="1"/>
  <c r="G148" i="1" a="1"/>
  <c r="P153" i="1" a="1"/>
  <c r="G177" i="1" a="1"/>
  <c r="G149" i="1" a="1"/>
  <c r="P174" i="1" a="1"/>
  <c r="P175" i="1" a="1"/>
  <c r="P170" i="1" a="1"/>
  <c r="G159" i="1" a="1"/>
  <c r="G89" i="1" a="1"/>
  <c r="P156" i="1" a="1"/>
  <c r="P147" i="1" a="1"/>
  <c r="G186" i="1" a="1"/>
  <c r="G165" i="1" a="1"/>
  <c r="G163" i="1" a="1"/>
  <c r="G147" i="1" a="1"/>
  <c r="G145" i="1" a="1"/>
  <c r="G164" i="1" a="1"/>
  <c r="G54" i="1" a="1"/>
  <c r="P146" i="1" a="1"/>
  <c r="P152" i="1" a="1"/>
  <c r="P95" i="1" a="1"/>
  <c r="G160" i="1" a="1"/>
  <c r="G21" i="1" a="1"/>
  <c r="G55" i="1" a="1"/>
  <c r="G168" i="1" a="1"/>
  <c r="P149" i="1" a="1"/>
  <c r="P82" i="1" a="1"/>
  <c r="G161" i="1" a="1"/>
  <c r="P97" i="1" a="1"/>
  <c r="P145" i="1" a="1"/>
  <c r="G169" i="1" a="1"/>
  <c r="G142" i="1" a="1"/>
  <c r="P81" i="1" a="1"/>
  <c r="G172" i="1" a="1"/>
  <c r="G25" i="1" a="1"/>
  <c r="P150" i="1" a="1"/>
  <c r="G146" i="1" a="1"/>
  <c r="P151" i="1" a="1"/>
  <c r="P91" i="1" a="1"/>
  <c r="G178" i="1" a="1"/>
  <c r="P144" i="1" a="1"/>
  <c r="P90" i="1" a="1"/>
  <c r="G179" i="1" a="1"/>
  <c r="G141" i="1" a="1"/>
  <c r="P164" i="1" a="1"/>
  <c r="P165" i="1" a="1"/>
  <c r="P148" i="1" a="1"/>
  <c r="P160" i="1" a="1"/>
  <c r="G188" i="1" a="1"/>
  <c r="G193" i="1" a="1"/>
  <c r="G185" i="1" a="1"/>
  <c r="G170" i="1" a="1"/>
  <c r="G167" i="1" a="1"/>
  <c r="G151" i="1" a="1"/>
  <c r="G78" i="1" a="1"/>
  <c r="G99" i="1" a="1"/>
  <c r="P159" i="1" a="1"/>
  <c r="G173" i="1" a="1"/>
  <c r="G175" i="1" a="1"/>
  <c r="G152" i="1" a="1"/>
  <c r="G154" i="1" a="1"/>
  <c r="P141" i="1" a="1"/>
  <c r="G192" i="1" a="1"/>
  <c r="G150" i="1" a="1"/>
  <c r="P161" i="1" a="1"/>
  <c r="P143" i="1" a="1"/>
  <c r="G155" i="1" a="1"/>
  <c r="P166" i="1" a="1"/>
  <c r="G171" i="1" a="1"/>
  <c r="G190" i="1" a="1"/>
  <c r="G174" i="1" a="1"/>
  <c r="G138" i="1" a="1"/>
  <c r="G156" i="1" a="1"/>
  <c r="G88" i="1" a="1"/>
  <c r="G184" i="1" a="1"/>
  <c r="G23" i="1" a="1"/>
  <c r="P162" i="1" a="1"/>
  <c r="P154" i="1" a="1"/>
  <c r="G189" i="1" a="1"/>
  <c r="G139" i="1" a="1"/>
  <c r="G157" i="1" a="1"/>
  <c r="P169" i="1" a="1"/>
  <c r="G166" i="1" a="1"/>
  <c r="P168" i="1" a="1"/>
  <c r="G187" i="1" a="1"/>
  <c r="P163" i="1" a="1"/>
  <c r="P155" i="1" a="1"/>
  <c r="P142" i="1" a="1"/>
  <c r="G191" i="1" a="1"/>
  <c r="G153" i="1" a="1"/>
  <c r="Q74" i="1" a="1"/>
  <c r="Q72" i="1" a="1"/>
  <c r="P167" i="1" a="1"/>
  <c r="N63" i="1" a="1"/>
  <c r="N61" i="1" a="1"/>
  <c r="P70" i="1" a="1"/>
  <c r="Q61" i="1" a="1"/>
  <c r="Q60" i="1" a="1"/>
  <c r="P68" i="1" a="1"/>
  <c r="O68" i="1" a="1"/>
  <c r="H61" i="1" a="1"/>
  <c r="H66" i="1" a="1"/>
  <c r="G183" i="1" a="1"/>
  <c r="G93" i="1" a="1"/>
  <c r="G84" i="1" a="1"/>
  <c r="G70" i="1" a="1"/>
  <c r="F65" i="1" a="1"/>
  <c r="F71" i="1" a="1"/>
  <c r="E62" i="1" a="1"/>
  <c r="G24" i="1" a="1"/>
  <c r="P137" i="1" a="1"/>
  <c r="O65" i="1" a="1"/>
  <c r="Q66" i="1" a="1"/>
  <c r="H63" i="1" a="1"/>
  <c r="G97" i="1" a="1"/>
  <c r="G86" i="1" a="1"/>
  <c r="F69" i="1" a="1"/>
  <c r="P172" i="1" a="1"/>
  <c r="O63" i="1" a="1"/>
  <c r="P60" i="1" a="1"/>
  <c r="H67" i="1" a="1"/>
  <c r="G63" i="1" a="1"/>
  <c r="E70" i="1" a="1"/>
  <c r="Q67" i="1" a="1"/>
  <c r="N64" i="1" a="1"/>
  <c r="P63" i="1" a="1"/>
  <c r="H60" i="1" a="1"/>
  <c r="G82" i="1" a="1"/>
  <c r="F66" i="1" a="1"/>
  <c r="G16" i="1" a="1"/>
  <c r="G94" i="1" a="1"/>
  <c r="F62" i="1" a="1"/>
  <c r="G31" i="1" a="1"/>
  <c r="G180" i="1" a="1"/>
  <c r="G87" i="1" a="1"/>
  <c r="Q62" i="1" a="1"/>
  <c r="H68" i="1" a="1"/>
  <c r="E64" i="1" a="1"/>
  <c r="N72" i="1" a="1"/>
  <c r="O72" i="1" a="1"/>
  <c r="P61" i="1" a="1"/>
  <c r="N62" i="1" a="1"/>
  <c r="O67" i="1" a="1"/>
  <c r="P66" i="1" a="1"/>
  <c r="H65" i="1" a="1"/>
  <c r="G79" i="1" a="1"/>
  <c r="G66" i="1" a="1"/>
  <c r="F64" i="1" a="1"/>
  <c r="E66" i="1" a="1"/>
  <c r="N73" i="1" a="1"/>
  <c r="O75" i="1" a="1"/>
  <c r="P140" i="1" a="1"/>
  <c r="O69" i="1" a="1"/>
  <c r="Q65" i="1" a="1"/>
  <c r="N65" i="1" a="1"/>
  <c r="H69" i="1" a="1"/>
  <c r="G137" i="1" a="1"/>
  <c r="G92" i="1" a="1"/>
  <c r="F68" i="1" a="1"/>
  <c r="F60" i="1" a="1"/>
  <c r="N74" i="1" a="1"/>
  <c r="P72" i="1" a="1"/>
  <c r="Q69" i="1" a="1"/>
  <c r="Q70" i="1" a="1"/>
  <c r="O70" i="1" a="1"/>
  <c r="P139" i="1" a="1"/>
  <c r="H64" i="1" a="1"/>
  <c r="G83" i="1" a="1"/>
  <c r="G61" i="1" a="1"/>
  <c r="G67" i="1" a="1"/>
  <c r="E61" i="1" a="1"/>
  <c r="E68" i="1" a="1"/>
  <c r="O71" i="1" a="1"/>
  <c r="G182" i="1" a="1"/>
  <c r="G140" i="1" a="1"/>
  <c r="G96" i="1" a="1"/>
  <c r="G68" i="1" a="1"/>
  <c r="E67" i="1" a="1"/>
  <c r="O73" i="1" a="1"/>
  <c r="O61" i="1" a="1"/>
  <c r="O64" i="1" a="1"/>
  <c r="Q71" i="1" a="1"/>
  <c r="G85" i="1" a="1"/>
  <c r="G64" i="1" a="1"/>
  <c r="F70" i="1" a="1"/>
  <c r="E60" i="1" a="1"/>
  <c r="O74" i="1" a="1"/>
  <c r="Q64" i="1" a="1"/>
  <c r="O62" i="1" a="1"/>
  <c r="P71" i="1" a="1"/>
  <c r="G62" i="1" a="1"/>
  <c r="F63" i="1" a="1"/>
  <c r="G14" i="1" a="1"/>
  <c r="N75" i="1" a="1"/>
  <c r="P74" i="1" a="1"/>
  <c r="P173" i="1" a="1"/>
  <c r="N71" i="1" a="1"/>
  <c r="N66" i="1" a="1"/>
  <c r="N69" i="1" a="1"/>
  <c r="P62" i="1" a="1"/>
  <c r="Q68" i="1" a="1"/>
  <c r="H62" i="1" a="1"/>
  <c r="G181" i="1" a="1"/>
  <c r="G90" i="1" a="1"/>
  <c r="G95" i="1" a="1"/>
  <c r="G65" i="1" a="1"/>
  <c r="G71" i="1" a="1"/>
  <c r="F67" i="1" a="1"/>
  <c r="E65" i="1" a="1"/>
  <c r="E63" i="1" a="1"/>
  <c r="G15" i="1" a="1"/>
  <c r="Q73" i="1" a="1"/>
  <c r="P75" i="1" a="1"/>
  <c r="P138" i="1" a="1"/>
  <c r="P171" i="1" a="1"/>
  <c r="P69" i="1" a="1"/>
  <c r="P64" i="1" a="1"/>
  <c r="P67" i="1" a="1"/>
  <c r="O60" i="1" a="1"/>
  <c r="N67" i="1" a="1"/>
  <c r="H70" i="1" a="1"/>
  <c r="G81" i="1" a="1"/>
  <c r="G69" i="1" a="1"/>
  <c r="E69" i="1" a="1"/>
  <c r="Q75" i="1" a="1"/>
  <c r="O66" i="1" a="1"/>
  <c r="P65" i="1" a="1"/>
  <c r="N60" i="1" a="1"/>
  <c r="H71" i="1" a="1"/>
  <c r="G80" i="1" a="1"/>
  <c r="G60" i="1" a="1"/>
  <c r="E71" i="1" a="1"/>
  <c r="P73" i="1" a="1"/>
  <c r="Q63" i="1" a="1"/>
  <c r="N70" i="1" a="1"/>
  <c r="N68" i="1" a="1"/>
  <c r="G91" i="1" a="1"/>
  <c r="F61" i="1" a="1"/>
  <c r="D199" i="1"/>
  <c r="D200" i="1"/>
  <c r="G215" i="1"/>
  <c r="G213" i="1"/>
  <c r="D211" i="1"/>
  <c r="G211" i="1"/>
  <c r="F204" i="1"/>
  <c r="D210" i="1"/>
  <c r="F201" i="1"/>
  <c r="M81" i="1"/>
  <c r="M80" i="1"/>
  <c r="P134" i="1"/>
  <c r="P129" i="1"/>
  <c r="P133" i="1"/>
  <c r="M129" i="1"/>
  <c r="M124" i="1"/>
  <c r="M114" i="1"/>
  <c r="P107" i="1"/>
  <c r="O125" i="1"/>
  <c r="O122" i="1"/>
  <c r="P110" i="1"/>
  <c r="D110" i="1"/>
  <c r="G108" i="1"/>
  <c r="D107" i="1"/>
  <c r="D134" i="1"/>
  <c r="G128" i="1"/>
  <c r="D126" i="1"/>
  <c r="D127" i="1"/>
  <c r="D123" i="1"/>
  <c r="G122" i="1"/>
  <c r="P38" i="1"/>
  <c r="M37" i="1"/>
  <c r="P47" i="1"/>
  <c r="O35" i="1"/>
  <c r="M39" i="1"/>
  <c r="M44" i="1"/>
  <c r="M32" i="1"/>
  <c r="O28" i="1"/>
  <c r="M29" i="1"/>
  <c r="D41" i="1"/>
  <c r="D38" i="1"/>
  <c r="G45" i="1"/>
  <c r="G44" i="1"/>
  <c r="G46" i="1"/>
  <c r="D36" i="1"/>
  <c r="P120" i="1"/>
  <c r="D128" i="1"/>
  <c r="P40" i="1"/>
  <c r="O37" i="1"/>
  <c r="F42" i="1"/>
  <c r="G32" i="1"/>
  <c r="D31" i="1"/>
  <c r="M127" i="1"/>
  <c r="D130" i="1"/>
  <c r="P41" i="1"/>
  <c r="F46" i="1"/>
  <c r="F199" i="1"/>
  <c r="G199" i="1"/>
  <c r="F215" i="1"/>
  <c r="G209" i="1"/>
  <c r="D207" i="1"/>
  <c r="F210" i="1"/>
  <c r="G214" i="1"/>
  <c r="G208" i="1"/>
  <c r="G201" i="1"/>
  <c r="M85" i="1"/>
  <c r="M86" i="1"/>
  <c r="P131" i="1"/>
  <c r="O135" i="1"/>
  <c r="P130" i="1"/>
  <c r="M135" i="1"/>
  <c r="M119" i="1"/>
  <c r="P116" i="1"/>
  <c r="P111" i="1"/>
  <c r="M109" i="1"/>
  <c r="P123" i="1"/>
  <c r="M116" i="1"/>
  <c r="G112" i="1"/>
  <c r="D112" i="1"/>
  <c r="G106" i="1"/>
  <c r="G127" i="1"/>
  <c r="F127" i="1"/>
  <c r="F123" i="1"/>
  <c r="G125" i="1"/>
  <c r="D132" i="1"/>
  <c r="F121" i="1"/>
  <c r="O46" i="1"/>
  <c r="P48" i="1"/>
  <c r="P43" i="1"/>
  <c r="M34" i="1"/>
  <c r="O36" i="1"/>
  <c r="P42" i="1"/>
  <c r="M31" i="1"/>
  <c r="N29" i="1"/>
  <c r="M28" i="1"/>
  <c r="F38" i="1"/>
  <c r="G36" i="1"/>
  <c r="D43" i="1"/>
  <c r="G40" i="1"/>
  <c r="F45" i="1"/>
  <c r="G34" i="1"/>
  <c r="O40" i="1"/>
  <c r="D39" i="1"/>
  <c r="D216" i="1"/>
  <c r="F205" i="1"/>
  <c r="M84" i="1"/>
  <c r="P135" i="1"/>
  <c r="M132" i="1"/>
  <c r="P125" i="1"/>
  <c r="P122" i="1"/>
  <c r="G116" i="1"/>
  <c r="G135" i="1"/>
  <c r="G131" i="1"/>
  <c r="F120" i="1"/>
  <c r="M33" i="1"/>
  <c r="P45" i="1"/>
  <c r="O27" i="1"/>
  <c r="G41" i="1"/>
  <c r="F200" i="1"/>
  <c r="F198" i="1"/>
  <c r="G216" i="1"/>
  <c r="G205" i="1"/>
  <c r="D203" i="1"/>
  <c r="D209" i="1"/>
  <c r="D212" i="1"/>
  <c r="F207" i="1"/>
  <c r="P100" i="1"/>
  <c r="M82" i="1"/>
  <c r="M95" i="1"/>
  <c r="P127" i="1"/>
  <c r="O131" i="1"/>
  <c r="P128" i="1"/>
  <c r="M131" i="1"/>
  <c r="P121" i="1"/>
  <c r="O120" i="1"/>
  <c r="P115" i="1"/>
  <c r="M113" i="1"/>
  <c r="M125" i="1"/>
  <c r="P119" i="1"/>
  <c r="G115" i="1"/>
  <c r="D108" i="1"/>
  <c r="D106" i="1"/>
  <c r="G123" i="1"/>
  <c r="G124" i="1"/>
  <c r="D122" i="1"/>
  <c r="F124" i="1"/>
  <c r="G130" i="1"/>
  <c r="D120" i="1"/>
  <c r="M41" i="1"/>
  <c r="M46" i="1"/>
  <c r="O38" i="1"/>
  <c r="O48" i="1"/>
  <c r="O32" i="1"/>
  <c r="O41" i="1"/>
  <c r="P31" i="1"/>
  <c r="N26" i="1"/>
  <c r="M27" i="1"/>
  <c r="G35" i="1"/>
  <c r="F35" i="1"/>
  <c r="F40" i="1"/>
  <c r="D47" i="1"/>
  <c r="D44" i="1"/>
  <c r="F33" i="1"/>
  <c r="D197" i="1"/>
  <c r="F217" i="1"/>
  <c r="F209" i="1"/>
  <c r="F213" i="1"/>
  <c r="G207" i="1"/>
  <c r="D208" i="1"/>
  <c r="D206" i="1"/>
  <c r="M100" i="1"/>
  <c r="M92" i="1"/>
  <c r="M91" i="1"/>
  <c r="O128" i="1"/>
  <c r="O127" i="1"/>
  <c r="O134" i="1"/>
  <c r="M134" i="1"/>
  <c r="O124" i="1"/>
  <c r="M123" i="1"/>
  <c r="O119" i="1"/>
  <c r="M115" i="1"/>
  <c r="G117" i="1"/>
  <c r="G107" i="1"/>
  <c r="G111" i="1"/>
  <c r="G134" i="1"/>
  <c r="F122" i="1"/>
  <c r="G120" i="1"/>
  <c r="F133" i="1"/>
  <c r="G121" i="1"/>
  <c r="D119" i="1"/>
  <c r="P35" i="1"/>
  <c r="O43" i="1"/>
  <c r="O34" i="1"/>
  <c r="M40" i="1"/>
  <c r="O31" i="1"/>
  <c r="P28" i="1"/>
  <c r="D33" i="1"/>
  <c r="D34" i="1"/>
  <c r="F44" i="1"/>
  <c r="D32" i="1"/>
  <c r="D196" i="1"/>
  <c r="G210" i="1"/>
  <c r="D205" i="1"/>
  <c r="G204" i="1"/>
  <c r="M90" i="1"/>
  <c r="M87" i="1"/>
  <c r="O132" i="1"/>
  <c r="M107" i="1"/>
  <c r="D115" i="1"/>
  <c r="G119" i="1"/>
  <c r="P37" i="1"/>
  <c r="G43" i="1"/>
  <c r="F41" i="1"/>
  <c r="O126" i="1"/>
  <c r="F131" i="1"/>
  <c r="O45" i="1"/>
  <c r="P46" i="1"/>
  <c r="G47" i="1"/>
  <c r="G197" i="1"/>
  <c r="M117" i="1"/>
  <c r="F129" i="1"/>
  <c r="M47" i="1"/>
  <c r="M26" i="1"/>
  <c r="G42" i="1"/>
  <c r="G202" i="1"/>
  <c r="M130" i="1"/>
  <c r="P106" i="1"/>
  <c r="G114" i="1"/>
  <c r="D121" i="1"/>
  <c r="D129" i="1"/>
  <c r="O47" i="1"/>
  <c r="P26" i="1"/>
  <c r="F36" i="1"/>
  <c r="M78" i="1"/>
  <c r="F128" i="1"/>
  <c r="M38" i="1"/>
  <c r="F34" i="1"/>
  <c r="F197" i="1"/>
  <c r="P29" i="1"/>
  <c r="G198" i="1"/>
  <c r="G196" i="1"/>
  <c r="G217" i="1"/>
  <c r="D213" i="1"/>
  <c r="G206" i="1"/>
  <c r="G203" i="1"/>
  <c r="D214" i="1"/>
  <c r="F203" i="1"/>
  <c r="M97" i="1"/>
  <c r="M94" i="1"/>
  <c r="M83" i="1"/>
  <c r="O133" i="1"/>
  <c r="P132" i="1"/>
  <c r="M128" i="1"/>
  <c r="M126" i="1"/>
  <c r="P109" i="1"/>
  <c r="P113" i="1"/>
  <c r="M122" i="1"/>
  <c r="M112" i="1"/>
  <c r="M106" i="1"/>
  <c r="D117" i="1"/>
  <c r="D114" i="1"/>
  <c r="D113" i="1"/>
  <c r="D135" i="1"/>
  <c r="F130" i="1"/>
  <c r="F126" i="1"/>
  <c r="F132" i="1"/>
  <c r="D133" i="1"/>
  <c r="G126" i="1"/>
  <c r="F119" i="1"/>
  <c r="M45" i="1"/>
  <c r="O39" i="1"/>
  <c r="P44" i="1"/>
  <c r="O44" i="1"/>
  <c r="M35" i="1"/>
  <c r="M36" i="1"/>
  <c r="O26" i="1"/>
  <c r="N28" i="1"/>
  <c r="G39" i="1"/>
  <c r="D46" i="1"/>
  <c r="D45" i="1"/>
  <c r="D35" i="1"/>
  <c r="G37" i="1"/>
  <c r="D40" i="1"/>
  <c r="F196" i="1"/>
  <c r="F216" i="1"/>
  <c r="F206" i="1"/>
  <c r="D204" i="1"/>
  <c r="F212" i="1"/>
  <c r="G212" i="1"/>
  <c r="D202" i="1"/>
  <c r="M93" i="1"/>
  <c r="M96" i="1"/>
  <c r="M79" i="1"/>
  <c r="O129" i="1"/>
  <c r="P126" i="1"/>
  <c r="M133" i="1"/>
  <c r="M111" i="1"/>
  <c r="M120" i="1"/>
  <c r="O121" i="1"/>
  <c r="O123" i="1"/>
  <c r="P114" i="1"/>
  <c r="M110" i="1"/>
  <c r="D116" i="1"/>
  <c r="G113" i="1"/>
  <c r="D111" i="1"/>
  <c r="F134" i="1"/>
  <c r="D125" i="1"/>
  <c r="G132" i="1"/>
  <c r="D131" i="1"/>
  <c r="G133" i="1"/>
  <c r="F125" i="1"/>
  <c r="M48" i="1"/>
  <c r="O42" i="1"/>
  <c r="P36" i="1"/>
  <c r="M42" i="1"/>
  <c r="M43" i="1"/>
  <c r="P33" i="1"/>
  <c r="P34" i="1"/>
  <c r="O29" i="1"/>
  <c r="N27" i="1"/>
  <c r="D37" i="1"/>
  <c r="F47" i="1"/>
  <c r="F32" i="1"/>
  <c r="G33" i="1"/>
  <c r="G38" i="1"/>
  <c r="D217" i="1"/>
  <c r="F214" i="1"/>
  <c r="F211" i="1"/>
  <c r="M89" i="1"/>
  <c r="O130" i="1"/>
  <c r="P112" i="1"/>
  <c r="P124" i="1"/>
  <c r="M108" i="1"/>
  <c r="G109" i="1"/>
  <c r="F135" i="1"/>
  <c r="D124" i="1"/>
  <c r="P32" i="1"/>
  <c r="P27" i="1"/>
  <c r="F43" i="1"/>
  <c r="G200" i="1"/>
  <c r="D42" i="1"/>
  <c r="D215" i="1"/>
  <c r="F202" i="1"/>
  <c r="F208" i="1"/>
  <c r="D201" i="1"/>
  <c r="M88" i="1"/>
  <c r="P117" i="1"/>
  <c r="P108" i="1"/>
  <c r="M121" i="1"/>
  <c r="G110" i="1"/>
  <c r="D109" i="1"/>
  <c r="G129" i="1"/>
  <c r="P39" i="1"/>
  <c r="O33" i="1"/>
  <c r="F39" i="1"/>
  <c r="F37" i="1"/>
  <c r="D198" i="1"/>
  <c r="G31" i="1"/>
  <c r="P74" i="1"/>
  <c r="N75" i="1"/>
  <c r="M52" i="1"/>
  <c r="P17" i="1"/>
  <c r="O25" i="1"/>
  <c r="N23" i="1"/>
  <c r="N21" i="1"/>
  <c r="M21" i="1"/>
  <c r="O14" i="1"/>
  <c r="N65" i="1"/>
  <c r="O94" i="1"/>
  <c r="P60" i="1"/>
  <c r="P94" i="1"/>
  <c r="M157" i="1"/>
  <c r="O84" i="1"/>
  <c r="O149" i="1"/>
  <c r="Q65" i="1"/>
  <c r="M102" i="1"/>
  <c r="M148" i="1"/>
  <c r="O78" i="1"/>
  <c r="O63" i="1"/>
  <c r="O69" i="1"/>
  <c r="M138" i="1"/>
  <c r="O145" i="1"/>
  <c r="O87" i="1"/>
  <c r="P147" i="1"/>
  <c r="M165" i="1"/>
  <c r="P175" i="1"/>
  <c r="M172" i="1"/>
  <c r="P162" i="1"/>
  <c r="P148" i="1"/>
  <c r="P165" i="1"/>
  <c r="P140" i="1"/>
  <c r="M162" i="1"/>
  <c r="P172" i="1"/>
  <c r="H70" i="1"/>
  <c r="F180" i="1"/>
  <c r="G189" i="1"/>
  <c r="F192" i="1"/>
  <c r="D189" i="1"/>
  <c r="F190" i="1"/>
  <c r="D186" i="1"/>
  <c r="G177" i="1"/>
  <c r="G175" i="1"/>
  <c r="G164" i="1"/>
  <c r="F168" i="1"/>
  <c r="G173" i="1"/>
  <c r="D172" i="1"/>
  <c r="F161" i="1"/>
  <c r="G137" i="1"/>
  <c r="D143" i="1"/>
  <c r="F145" i="1"/>
  <c r="D144" i="1"/>
  <c r="F142" i="1"/>
  <c r="G143" i="1"/>
  <c r="F147" i="1"/>
  <c r="G78" i="1"/>
  <c r="D102" i="1"/>
  <c r="G96" i="1"/>
  <c r="G94" i="1"/>
  <c r="G81" i="1"/>
  <c r="F91" i="1"/>
  <c r="F89" i="1"/>
  <c r="D87" i="1"/>
  <c r="D97" i="1"/>
  <c r="G67" i="1"/>
  <c r="G61" i="1"/>
  <c r="F66" i="1"/>
  <c r="E68" i="1"/>
  <c r="E61" i="1"/>
  <c r="G21" i="1"/>
  <c r="G15" i="1"/>
  <c r="D55" i="1"/>
  <c r="D17" i="1"/>
  <c r="G52" i="1"/>
  <c r="G17" i="1"/>
  <c r="G58" i="1"/>
  <c r="F82" i="1"/>
  <c r="F63" i="1"/>
  <c r="D21" i="1"/>
  <c r="G53" i="1"/>
  <c r="N22" i="1"/>
  <c r="M149" i="1"/>
  <c r="Q67" i="1"/>
  <c r="P170" i="1"/>
  <c r="O171" i="1"/>
  <c r="F187" i="1"/>
  <c r="G138" i="1"/>
  <c r="G148" i="1"/>
  <c r="G85" i="1"/>
  <c r="F67" i="1"/>
  <c r="G56" i="1"/>
  <c r="F31" i="1"/>
  <c r="P72" i="1"/>
  <c r="N74" i="1"/>
  <c r="M54" i="1"/>
  <c r="O24" i="1"/>
  <c r="O23" i="1"/>
  <c r="N20" i="1"/>
  <c r="N19" i="1"/>
  <c r="M20" i="1"/>
  <c r="N14" i="1"/>
  <c r="Q66" i="1"/>
  <c r="M101" i="1"/>
  <c r="O65" i="1"/>
  <c r="P96" i="1"/>
  <c r="P66" i="1"/>
  <c r="O86" i="1"/>
  <c r="M153" i="1"/>
  <c r="O67" i="1"/>
  <c r="P137" i="1"/>
  <c r="N62" i="1"/>
  <c r="P82" i="1"/>
  <c r="O83" i="1"/>
  <c r="P78" i="1"/>
  <c r="P141" i="1"/>
  <c r="P61" i="1"/>
  <c r="P89" i="1"/>
  <c r="P154" i="1"/>
  <c r="O166" i="1"/>
  <c r="P149" i="1"/>
  <c r="P174" i="1"/>
  <c r="M164" i="1"/>
  <c r="O151" i="1"/>
  <c r="M167" i="1"/>
  <c r="M142" i="1"/>
  <c r="O163" i="1"/>
  <c r="M174" i="1"/>
  <c r="H62" i="1"/>
  <c r="D191" i="1"/>
  <c r="D192" i="1"/>
  <c r="F193" i="1"/>
  <c r="F186" i="1"/>
  <c r="G187" i="1"/>
  <c r="G184" i="1"/>
  <c r="D177" i="1"/>
  <c r="G167" i="1"/>
  <c r="F163" i="1"/>
  <c r="D167" i="1"/>
  <c r="G169" i="1"/>
  <c r="G170" i="1"/>
  <c r="D160" i="1"/>
  <c r="D137" i="1"/>
  <c r="F156" i="1"/>
  <c r="G142" i="1"/>
  <c r="G157" i="1"/>
  <c r="F152" i="1"/>
  <c r="G156" i="1"/>
  <c r="D146" i="1"/>
  <c r="G79" i="1"/>
  <c r="D104" i="1"/>
  <c r="G95" i="1"/>
  <c r="G90" i="1"/>
  <c r="G80" i="1"/>
  <c r="F94" i="1"/>
  <c r="F85" i="1"/>
  <c r="D83" i="1"/>
  <c r="D93" i="1"/>
  <c r="G63" i="1"/>
  <c r="G60" i="1"/>
  <c r="F68" i="1"/>
  <c r="E70" i="1"/>
  <c r="E60" i="1"/>
  <c r="G22" i="1"/>
  <c r="G16" i="1"/>
  <c r="D57" i="1"/>
  <c r="G51" i="1"/>
  <c r="F92" i="1"/>
  <c r="G62" i="1"/>
  <c r="D58" i="1"/>
  <c r="P20" i="1"/>
  <c r="O92" i="1"/>
  <c r="O97" i="1"/>
  <c r="O85" i="1"/>
  <c r="M146" i="1"/>
  <c r="D179" i="1"/>
  <c r="G160" i="1"/>
  <c r="G153" i="1"/>
  <c r="D103" i="1"/>
  <c r="D95" i="1"/>
  <c r="E63" i="1"/>
  <c r="D54" i="1"/>
  <c r="D99" i="1"/>
  <c r="O75" i="1"/>
  <c r="N73" i="1"/>
  <c r="M51" i="1"/>
  <c r="O22" i="1"/>
  <c r="O21" i="1"/>
  <c r="N18" i="1"/>
  <c r="N17" i="1"/>
  <c r="M19" i="1"/>
  <c r="P14" i="1"/>
  <c r="O68" i="1"/>
  <c r="M104" i="1"/>
  <c r="P68" i="1"/>
  <c r="P101" i="1"/>
  <c r="Q60" i="1"/>
  <c r="P90" i="1"/>
  <c r="Q61" i="1"/>
  <c r="P70" i="1"/>
  <c r="O141" i="1"/>
  <c r="N61" i="1"/>
  <c r="P84" i="1"/>
  <c r="P155" i="1"/>
  <c r="P80" i="1"/>
  <c r="O144" i="1"/>
  <c r="N63" i="1"/>
  <c r="P91" i="1"/>
  <c r="M156" i="1"/>
  <c r="P167" i="1"/>
  <c r="P153" i="1"/>
  <c r="O148" i="1"/>
  <c r="P166" i="1"/>
  <c r="M154" i="1"/>
  <c r="O168" i="1"/>
  <c r="P144" i="1"/>
  <c r="P164" i="1"/>
  <c r="O175" i="1"/>
  <c r="H64" i="1"/>
  <c r="D187" i="1"/>
  <c r="F189" i="1"/>
  <c r="G190" i="1"/>
  <c r="G183" i="1"/>
  <c r="D185" i="1"/>
  <c r="F183" i="1"/>
  <c r="G171" i="1"/>
  <c r="G163" i="1"/>
  <c r="D162" i="1"/>
  <c r="G165" i="1"/>
  <c r="D163" i="1"/>
  <c r="F169" i="1"/>
  <c r="F159" i="1"/>
  <c r="D139" i="1"/>
  <c r="F148" i="1"/>
  <c r="D151" i="1"/>
  <c r="G149" i="1"/>
  <c r="D147" i="1"/>
  <c r="F155" i="1"/>
  <c r="G144" i="1"/>
  <c r="D79" i="1"/>
  <c r="G104" i="1"/>
  <c r="G83" i="1"/>
  <c r="G82" i="1"/>
  <c r="F95" i="1"/>
  <c r="F90" i="1"/>
  <c r="F81" i="1"/>
  <c r="D94" i="1"/>
  <c r="D89" i="1"/>
  <c r="G66" i="1"/>
  <c r="F64" i="1"/>
  <c r="F69" i="1"/>
  <c r="E66" i="1"/>
  <c r="D24" i="1"/>
  <c r="G20" i="1"/>
  <c r="D14" i="1"/>
  <c r="D53" i="1"/>
  <c r="G97" i="1"/>
  <c r="D81" i="1"/>
  <c r="G19" i="1"/>
  <c r="P18" i="1"/>
  <c r="P63" i="1"/>
  <c r="O146" i="1"/>
  <c r="O150" i="1"/>
  <c r="O174" i="1"/>
  <c r="M175" i="1"/>
  <c r="G192" i="1"/>
  <c r="D161" i="1"/>
  <c r="D148" i="1"/>
  <c r="G87" i="1"/>
  <c r="D92" i="1"/>
  <c r="D16" i="1"/>
  <c r="G99" i="1"/>
  <c r="O72" i="1"/>
  <c r="N72" i="1"/>
  <c r="P23" i="1"/>
  <c r="O19" i="1"/>
  <c r="O20" i="1"/>
  <c r="N15" i="1"/>
  <c r="N16" i="1"/>
  <c r="M18" i="1"/>
  <c r="N68" i="1"/>
  <c r="P71" i="1"/>
  <c r="M152" i="1"/>
  <c r="N70" i="1"/>
  <c r="P104" i="1"/>
  <c r="O62" i="1"/>
  <c r="P92" i="1"/>
  <c r="O81" i="1"/>
  <c r="O80" i="1"/>
  <c r="M144" i="1"/>
  <c r="Q62" i="1"/>
  <c r="O93" i="1"/>
  <c r="Q63" i="1"/>
  <c r="O89" i="1"/>
  <c r="M147" i="1"/>
  <c r="Q64" i="1"/>
  <c r="M99" i="1"/>
  <c r="O157" i="1"/>
  <c r="M169" i="1"/>
  <c r="O156" i="1"/>
  <c r="M151" i="1"/>
  <c r="O169" i="1"/>
  <c r="O155" i="1"/>
  <c r="P169" i="1"/>
  <c r="O147" i="1"/>
  <c r="M166" i="1"/>
  <c r="H67" i="1"/>
  <c r="H69" i="1"/>
  <c r="G185" i="1"/>
  <c r="G186" i="1"/>
  <c r="D188" i="1"/>
  <c r="F182" i="1"/>
  <c r="D181" i="1"/>
  <c r="D182" i="1"/>
  <c r="D165" i="1"/>
  <c r="D174" i="1"/>
  <c r="D173" i="1"/>
  <c r="F164" i="1"/>
  <c r="F174" i="1"/>
  <c r="D168" i="1"/>
  <c r="D159" i="1"/>
  <c r="D138" i="1"/>
  <c r="F157" i="1"/>
  <c r="G145" i="1"/>
  <c r="G155" i="1"/>
  <c r="D157" i="1"/>
  <c r="D154" i="1"/>
  <c r="F143" i="1"/>
  <c r="F78" i="1"/>
  <c r="G103" i="1"/>
  <c r="G88" i="1"/>
  <c r="G92" i="1"/>
  <c r="F83" i="1"/>
  <c r="F86" i="1"/>
  <c r="F80" i="1"/>
  <c r="D86" i="1"/>
  <c r="D85" i="1"/>
  <c r="G70" i="1"/>
  <c r="F71" i="1"/>
  <c r="F65" i="1"/>
  <c r="E62" i="1"/>
  <c r="D25" i="1"/>
  <c r="D22" i="1"/>
  <c r="G14" i="1"/>
  <c r="D52" i="1"/>
  <c r="G54" i="1"/>
  <c r="G102" i="1"/>
  <c r="D96" i="1"/>
  <c r="F61" i="1"/>
  <c r="G24" i="1"/>
  <c r="M55" i="1"/>
  <c r="O70" i="1"/>
  <c r="M103" i="1"/>
  <c r="M160" i="1"/>
  <c r="F188" i="1"/>
  <c r="F177" i="1"/>
  <c r="G162" i="1"/>
  <c r="F146" i="1"/>
  <c r="F93" i="1"/>
  <c r="D23" i="1"/>
  <c r="Q72" i="1"/>
  <c r="Q74" i="1"/>
  <c r="M56" i="1"/>
  <c r="P16" i="1"/>
  <c r="O17" i="1"/>
  <c r="O18" i="1"/>
  <c r="P21" i="1"/>
  <c r="M25" i="1"/>
  <c r="M17" i="1"/>
  <c r="P87" i="1"/>
  <c r="O79" i="1"/>
  <c r="N60" i="1"/>
  <c r="Q71" i="1"/>
  <c r="M140" i="1"/>
  <c r="P65" i="1"/>
  <c r="M137" i="1"/>
  <c r="P151" i="1"/>
  <c r="O82" i="1"/>
  <c r="P146" i="1"/>
  <c r="O64" i="1"/>
  <c r="O95" i="1"/>
  <c r="O61" i="1"/>
  <c r="O91" i="1"/>
  <c r="P150" i="1"/>
  <c r="O66" i="1"/>
  <c r="P103" i="1"/>
  <c r="P159" i="1"/>
  <c r="O170" i="1"/>
  <c r="O161" i="1"/>
  <c r="O152" i="1"/>
  <c r="O173" i="1"/>
  <c r="M159" i="1"/>
  <c r="M171" i="1"/>
  <c r="M150" i="1"/>
  <c r="O167" i="1"/>
  <c r="H63" i="1"/>
  <c r="H65" i="1"/>
  <c r="F184" i="1"/>
  <c r="F185" i="1"/>
  <c r="D184" i="1"/>
  <c r="F178" i="1"/>
  <c r="G179" i="1"/>
  <c r="G180" i="1"/>
  <c r="F175" i="1"/>
  <c r="F171" i="1"/>
  <c r="F166" i="1"/>
  <c r="G161" i="1"/>
  <c r="D169" i="1"/>
  <c r="G166" i="1"/>
  <c r="G159" i="1"/>
  <c r="D140" i="1"/>
  <c r="G154" i="1"/>
  <c r="D156" i="1"/>
  <c r="D153" i="1"/>
  <c r="F154" i="1"/>
  <c r="G152" i="1"/>
  <c r="D142" i="1"/>
  <c r="F79" i="1"/>
  <c r="G86" i="1"/>
  <c r="D88" i="1"/>
  <c r="E64" i="1"/>
  <c r="N25" i="1"/>
  <c r="N64" i="1"/>
  <c r="M145" i="1"/>
  <c r="H71" i="1"/>
  <c r="D166" i="1"/>
  <c r="F141" i="1"/>
  <c r="G65" i="1"/>
  <c r="P73" i="1"/>
  <c r="O74" i="1"/>
  <c r="M53" i="1"/>
  <c r="P15" i="1"/>
  <c r="O16" i="1"/>
  <c r="O15" i="1"/>
  <c r="P19" i="1"/>
  <c r="M24" i="1"/>
  <c r="M16" i="1"/>
  <c r="O96" i="1"/>
  <c r="P81" i="1"/>
  <c r="O71" i="1"/>
  <c r="P79" i="1"/>
  <c r="M143" i="1"/>
  <c r="N67" i="1"/>
  <c r="M141" i="1"/>
  <c r="O60" i="1"/>
  <c r="P86" i="1"/>
  <c r="O153" i="1"/>
  <c r="P67" i="1"/>
  <c r="P97" i="1"/>
  <c r="P64" i="1"/>
  <c r="P93" i="1"/>
  <c r="O154" i="1"/>
  <c r="P69" i="1"/>
  <c r="M139" i="1"/>
  <c r="M161" i="1"/>
  <c r="P171" i="1"/>
  <c r="O165" i="1"/>
  <c r="M155" i="1"/>
  <c r="P138" i="1"/>
  <c r="O160" i="1"/>
  <c r="O172" i="1"/>
  <c r="P152" i="1"/>
  <c r="P168" i="1"/>
  <c r="H66" i="1"/>
  <c r="H61" i="1"/>
  <c r="D183" i="1"/>
  <c r="G182" i="1"/>
  <c r="F181" i="1"/>
  <c r="F191" i="1"/>
  <c r="D190" i="1"/>
  <c r="F179" i="1"/>
  <c r="G172" i="1"/>
  <c r="D170" i="1"/>
  <c r="D175" i="1"/>
  <c r="F160" i="1"/>
  <c r="F162" i="1"/>
  <c r="F165" i="1"/>
  <c r="G140" i="1"/>
  <c r="D155" i="1"/>
  <c r="D152" i="1"/>
  <c r="F153" i="1"/>
  <c r="F150" i="1"/>
  <c r="G151" i="1"/>
  <c r="F151" i="1"/>
  <c r="D141" i="1"/>
  <c r="D78" i="1"/>
  <c r="G100" i="1"/>
  <c r="G84" i="1"/>
  <c r="G93" i="1"/>
  <c r="F87" i="1"/>
  <c r="F88" i="1"/>
  <c r="D91" i="1"/>
  <c r="D90" i="1"/>
  <c r="D80" i="1"/>
  <c r="G64" i="1"/>
  <c r="F70" i="1"/>
  <c r="F60" i="1"/>
  <c r="E71" i="1"/>
  <c r="G25" i="1"/>
  <c r="D20" i="1"/>
  <c r="D19" i="1"/>
  <c r="D51" i="1"/>
  <c r="G55" i="1"/>
  <c r="D56" i="1"/>
  <c r="P75" i="1"/>
  <c r="M22" i="1"/>
  <c r="P139" i="1"/>
  <c r="P85" i="1"/>
  <c r="Q69" i="1"/>
  <c r="M163" i="1"/>
  <c r="G191" i="1"/>
  <c r="F173" i="1"/>
  <c r="D145" i="1"/>
  <c r="F84" i="1"/>
  <c r="E65" i="1"/>
  <c r="Q75" i="1"/>
  <c r="O73" i="1"/>
  <c r="M57" i="1"/>
  <c r="P25" i="1"/>
  <c r="P22" i="1"/>
  <c r="P24" i="1"/>
  <c r="N24" i="1"/>
  <c r="M23" i="1"/>
  <c r="M15" i="1"/>
  <c r="P142" i="1"/>
  <c r="P83" i="1"/>
  <c r="P99" i="1"/>
  <c r="O88" i="1"/>
  <c r="P145" i="1"/>
  <c r="Q68" i="1"/>
  <c r="P143" i="1"/>
  <c r="P62" i="1"/>
  <c r="P88" i="1"/>
  <c r="O159" i="1"/>
  <c r="N69" i="1"/>
  <c r="P102" i="1"/>
  <c r="N66" i="1"/>
  <c r="P95" i="1"/>
  <c r="P160" i="1"/>
  <c r="N71" i="1"/>
  <c r="O142" i="1"/>
  <c r="O162" i="1"/>
  <c r="M173" i="1"/>
  <c r="M168" i="1"/>
  <c r="P157" i="1"/>
  <c r="O143" i="1"/>
  <c r="P161" i="1"/>
  <c r="P173" i="1"/>
  <c r="P156" i="1"/>
  <c r="M170" i="1"/>
  <c r="H68" i="1"/>
  <c r="H60" i="1"/>
  <c r="G181" i="1"/>
  <c r="G178" i="1"/>
  <c r="D180" i="1"/>
  <c r="G193" i="1"/>
  <c r="G188" i="1"/>
  <c r="D178" i="1"/>
  <c r="G168" i="1"/>
  <c r="F167" i="1"/>
  <c r="F172" i="1"/>
  <c r="F170" i="1"/>
  <c r="G174" i="1"/>
  <c r="D164" i="1"/>
  <c r="G139" i="1"/>
  <c r="F144" i="1"/>
  <c r="F149" i="1"/>
  <c r="G150" i="1"/>
  <c r="G147" i="1"/>
  <c r="D149" i="1"/>
  <c r="D150" i="1"/>
  <c r="G141" i="1"/>
  <c r="D100" i="1"/>
  <c r="G101" i="1"/>
  <c r="G91" i="1"/>
  <c r="G89" i="1"/>
  <c r="F96" i="1"/>
  <c r="F97" i="1"/>
  <c r="D84" i="1"/>
  <c r="D82" i="1"/>
  <c r="G68" i="1"/>
  <c r="G69" i="1"/>
  <c r="F62" i="1"/>
  <c r="E67" i="1"/>
  <c r="E69" i="1"/>
  <c r="G23" i="1"/>
  <c r="D15" i="1"/>
  <c r="G18" i="1"/>
  <c r="G57" i="1"/>
  <c r="Q73" i="1"/>
  <c r="M14" i="1"/>
  <c r="O90" i="1"/>
  <c r="Q70" i="1"/>
  <c r="P163" i="1"/>
  <c r="O164" i="1"/>
  <c r="D193" i="1"/>
  <c r="D171" i="1"/>
  <c r="G146" i="1"/>
  <c r="D101" i="1"/>
  <c r="G71" i="1"/>
  <c r="D18" i="1"/>
  <c r="E115" i="1" l="1"/>
  <c r="E113" i="1"/>
  <c r="F108" i="1"/>
  <c r="N117" i="1"/>
  <c r="N112" i="1"/>
  <c r="N115" i="1"/>
  <c r="E111" i="1"/>
  <c r="E117" i="1"/>
  <c r="F106" i="1"/>
  <c r="F116" i="1"/>
  <c r="O106" i="1"/>
  <c r="N113" i="1"/>
  <c r="O117" i="1"/>
  <c r="N110" i="1"/>
  <c r="E110" i="1"/>
  <c r="O112" i="1"/>
  <c r="O107" i="1"/>
  <c r="O110" i="1"/>
  <c r="N106" i="1"/>
  <c r="O116" i="1"/>
  <c r="F107" i="1"/>
  <c r="E108" i="1"/>
  <c r="F111" i="1"/>
  <c r="F117" i="1"/>
  <c r="O108" i="1"/>
  <c r="N116" i="1"/>
  <c r="N114" i="1"/>
  <c r="E112" i="1"/>
  <c r="F115" i="1"/>
  <c r="F110" i="1"/>
  <c r="N109" i="1"/>
  <c r="N107" i="1"/>
  <c r="O114" i="1"/>
  <c r="E109" i="1"/>
  <c r="E106" i="1"/>
  <c r="E116" i="1"/>
  <c r="F114" i="1"/>
  <c r="N108" i="1"/>
  <c r="O113" i="1"/>
  <c r="O111" i="1"/>
  <c r="F113" i="1"/>
  <c r="F109" i="1"/>
  <c r="E107" i="1"/>
  <c r="E114" i="1"/>
  <c r="F112" i="1"/>
  <c r="O115" i="1"/>
  <c r="O109" i="1"/>
  <c r="N1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<sst xmlns="http://schemas.openxmlformats.org/spreadsheetml/2006/main" count="3137" uniqueCount="814">
  <si>
    <t>EONIA</t>
  </si>
  <si>
    <t>1M</t>
  </si>
  <si>
    <t>BBG</t>
  </si>
  <si>
    <t>1D</t>
  </si>
  <si>
    <t>1W</t>
  </si>
  <si>
    <t>2W</t>
  </si>
  <si>
    <t>3W</t>
  </si>
  <si>
    <t>2M</t>
  </si>
  <si>
    <t>3M</t>
  </si>
  <si>
    <t>4M</t>
  </si>
  <si>
    <t>5M</t>
  </si>
  <si>
    <t>6M</t>
  </si>
  <si>
    <t>IRF</t>
  </si>
  <si>
    <t>Swaps</t>
  </si>
  <si>
    <t>Tenor basis</t>
  </si>
  <si>
    <t>xccy basis</t>
  </si>
  <si>
    <t>fx swaps</t>
  </si>
  <si>
    <t>turns</t>
  </si>
  <si>
    <t>EUSF1A</t>
  </si>
  <si>
    <t>EUSF2A</t>
  </si>
  <si>
    <t>EUSF3A</t>
  </si>
  <si>
    <t>EUSF4A</t>
  </si>
  <si>
    <t>EUSF5A</t>
  </si>
  <si>
    <t>EUSF6A</t>
  </si>
  <si>
    <t>EUSF7A</t>
  </si>
  <si>
    <t>EUSF8A</t>
  </si>
  <si>
    <t>Start</t>
  </si>
  <si>
    <t>End</t>
  </si>
  <si>
    <t>Level</t>
  </si>
  <si>
    <t>EUSWEA</t>
  </si>
  <si>
    <t>Spot</t>
  </si>
  <si>
    <t>Curve</t>
  </si>
  <si>
    <t>OIS</t>
  </si>
  <si>
    <t>EUSWEB</t>
  </si>
  <si>
    <t>EUSWEC</t>
  </si>
  <si>
    <t>EUSWE1Z</t>
  </si>
  <si>
    <t>EUSWE2Z</t>
  </si>
  <si>
    <t>EUSWE3Z</t>
  </si>
  <si>
    <t>EUSWED</t>
  </si>
  <si>
    <t>EUSWEE</t>
  </si>
  <si>
    <t>EUSWEF</t>
  </si>
  <si>
    <t>EUSWE1</t>
  </si>
  <si>
    <t>EUSWE2</t>
  </si>
  <si>
    <t>EUSWE1F</t>
  </si>
  <si>
    <t>1Y</t>
  </si>
  <si>
    <t>18M</t>
  </si>
  <si>
    <t>2Y</t>
  </si>
  <si>
    <t>ER1</t>
  </si>
  <si>
    <t>ER2</t>
  </si>
  <si>
    <t>ER3</t>
  </si>
  <si>
    <t>ER4</t>
  </si>
  <si>
    <t>ER5</t>
  </si>
  <si>
    <t>ER6</t>
  </si>
  <si>
    <t>ER7</t>
  </si>
  <si>
    <t>ER8</t>
  </si>
  <si>
    <t>ER9</t>
  </si>
  <si>
    <t>ER10</t>
  </si>
  <si>
    <t>ER11</t>
  </si>
  <si>
    <t>ER12</t>
  </si>
  <si>
    <t>Euribor Future</t>
  </si>
  <si>
    <t>EUSA3</t>
  </si>
  <si>
    <t>EUSA4</t>
  </si>
  <si>
    <t>EUSA5</t>
  </si>
  <si>
    <t>EUSA6</t>
  </si>
  <si>
    <t>EUSA7</t>
  </si>
  <si>
    <t>EUSA8</t>
  </si>
  <si>
    <t>EUSA9</t>
  </si>
  <si>
    <t>EUSA10</t>
  </si>
  <si>
    <t>EUSA11</t>
  </si>
  <si>
    <t>EUSA12</t>
  </si>
  <si>
    <t>EUSA15</t>
  </si>
  <si>
    <t>EUSA20</t>
  </si>
  <si>
    <t>EUSA25</t>
  </si>
  <si>
    <t>EUSA30</t>
  </si>
  <si>
    <t>EUSA35</t>
  </si>
  <si>
    <t>EUSA40</t>
  </si>
  <si>
    <t>EUSA45</t>
  </si>
  <si>
    <t>EUSA50</t>
  </si>
  <si>
    <t>12M</t>
  </si>
  <si>
    <t>EUR001M</t>
  </si>
  <si>
    <t>EUR003M</t>
  </si>
  <si>
    <t>EUR006M</t>
  </si>
  <si>
    <t>EUR012M</t>
  </si>
  <si>
    <t>9M</t>
  </si>
  <si>
    <t>EUSA1</t>
  </si>
  <si>
    <t>EUSA2</t>
  </si>
  <si>
    <t>EUSWIV1</t>
  </si>
  <si>
    <t>EUSWBV1</t>
  </si>
  <si>
    <t>EUSWCV1</t>
  </si>
  <si>
    <t>EUSWFV1</t>
  </si>
  <si>
    <t>Desc</t>
  </si>
  <si>
    <t>Swap</t>
  </si>
  <si>
    <t>Compound Swap</t>
  </si>
  <si>
    <t>FRA</t>
  </si>
  <si>
    <t>FRA Fixings</t>
  </si>
  <si>
    <t>Tenor Basis (2 swaps)</t>
  </si>
  <si>
    <t>EUBSA1</t>
  </si>
  <si>
    <t>EUBSA2</t>
  </si>
  <si>
    <t>EUBSA3</t>
  </si>
  <si>
    <t>EUBSA4</t>
  </si>
  <si>
    <t>EUBSA5</t>
  </si>
  <si>
    <t>EUBSA6</t>
  </si>
  <si>
    <t>EUBSA7</t>
  </si>
  <si>
    <t>EUBSA8</t>
  </si>
  <si>
    <t>EUBSA9</t>
  </si>
  <si>
    <t>EUBSA10</t>
  </si>
  <si>
    <t>EUBSA12</t>
  </si>
  <si>
    <t>EUBSA15</t>
  </si>
  <si>
    <t>EUBSA20</t>
  </si>
  <si>
    <t>EUBSA25</t>
  </si>
  <si>
    <t>EUBSA30</t>
  </si>
  <si>
    <t>EUBSA40</t>
  </si>
  <si>
    <t>EUBSA50</t>
  </si>
  <si>
    <t>EUBSV50</t>
  </si>
  <si>
    <t>EUBSV1</t>
  </si>
  <si>
    <t>EUBSV2</t>
  </si>
  <si>
    <t>EUBSV3</t>
  </si>
  <si>
    <t>EUBSV4</t>
  </si>
  <si>
    <t>EUBSV5</t>
  </si>
  <si>
    <t>EUBSV6</t>
  </si>
  <si>
    <t>EUBSV7</t>
  </si>
  <si>
    <t>EUBSV8</t>
  </si>
  <si>
    <t>EUBSV9</t>
  </si>
  <si>
    <t>EUBSV10</t>
  </si>
  <si>
    <t>EUBSV12</t>
  </si>
  <si>
    <t>EUBSV15</t>
  </si>
  <si>
    <t>EUBSV20</t>
  </si>
  <si>
    <t>EUBSV25</t>
  </si>
  <si>
    <t>EUBSV30</t>
  </si>
  <si>
    <t>EUBSV40</t>
  </si>
  <si>
    <t>EUBSS1</t>
  </si>
  <si>
    <t>EUBSS2</t>
  </si>
  <si>
    <t>EUBSS3</t>
  </si>
  <si>
    <t>EUBSS4</t>
  </si>
  <si>
    <t>EUBSS5</t>
  </si>
  <si>
    <t>EUBSS6</t>
  </si>
  <si>
    <t>EUBSS7</t>
  </si>
  <si>
    <t>EUBSS8</t>
  </si>
  <si>
    <t>EUBSS9</t>
  </si>
  <si>
    <t>EUBSS10</t>
  </si>
  <si>
    <t>EUBSS12</t>
  </si>
  <si>
    <t>EUBSS15</t>
  </si>
  <si>
    <t>EUBSS20</t>
  </si>
  <si>
    <t>EUBSS25</t>
  </si>
  <si>
    <t>EUBSS30</t>
  </si>
  <si>
    <t>EUBSS40</t>
  </si>
  <si>
    <t>EUBSS50</t>
  </si>
  <si>
    <t>ok</t>
  </si>
  <si>
    <t>no</t>
  </si>
  <si>
    <t>EUR SWAP (EONIA)  1WK</t>
  </si>
  <si>
    <t>EUR SWAP (EONIA)  2WK</t>
  </si>
  <si>
    <t>EUR SWAP (EONIA)  3WK</t>
  </si>
  <si>
    <t>EUR SWAP (EONIA)  1M</t>
  </si>
  <si>
    <t>EUR SWAP (EONIA)  2M</t>
  </si>
  <si>
    <t>EUR SWAP (EONIA)  3M</t>
  </si>
  <si>
    <t>EUR SWAP (EONIA)  4M</t>
  </si>
  <si>
    <t>EUR SWAP (EONIA)  5M</t>
  </si>
  <si>
    <t>EUR SWAP (EONIA)  6M</t>
  </si>
  <si>
    <t>EUR SWAP (EONIA)  1Y</t>
  </si>
  <si>
    <t>EUR SWAP (EONIA) 18M</t>
  </si>
  <si>
    <t>EUR SWAP (EONIA)  2Y</t>
  </si>
  <si>
    <t>EUR SWP FWD OIS 1ST ECB</t>
  </si>
  <si>
    <t>EUR SWP FWD OIS 2ND ECB</t>
  </si>
  <si>
    <t>EUR SWP FWD OIS 3RD ECB</t>
  </si>
  <si>
    <t>EUR SWP FWD OIS 4TH ECB</t>
  </si>
  <si>
    <t>EUR SWP FWD OIS 5TH ECB</t>
  </si>
  <si>
    <t>EUR SWP FWD OIS 6TH ECB</t>
  </si>
  <si>
    <t>EUR SWP FWD OIS 7TH ECB</t>
  </si>
  <si>
    <t>EUR SWP FWD OIS 8TH ECB</t>
  </si>
  <si>
    <t>16/12/2020</t>
  </si>
  <si>
    <t>17/03/2021</t>
  </si>
  <si>
    <t>16/06/2021</t>
  </si>
  <si>
    <t>15/09/2021</t>
  </si>
  <si>
    <t>15/12/2021</t>
  </si>
  <si>
    <t>16/03/2022</t>
  </si>
  <si>
    <t>15/06/2022</t>
  </si>
  <si>
    <t>21/09/2022</t>
  </si>
  <si>
    <t>21/12/2022</t>
  </si>
  <si>
    <t>15/03/2023</t>
  </si>
  <si>
    <t>21/06/2023</t>
  </si>
  <si>
    <t>20/09/2023</t>
  </si>
  <si>
    <t>20/12/2023</t>
  </si>
  <si>
    <t>EUR SWAP ANN (VS 6M) 1Y</t>
  </si>
  <si>
    <t>19/11/2021</t>
  </si>
  <si>
    <t>EUR SWAP ANN (VS 6M) 2Y</t>
  </si>
  <si>
    <t>19/11/2022</t>
  </si>
  <si>
    <t>EUR SWAP ANN (VS 6M) 3Y</t>
  </si>
  <si>
    <t>19/11/2023</t>
  </si>
  <si>
    <t>EUR SWAP ANN (VS 6M) 4Y</t>
  </si>
  <si>
    <t>19/11/2024</t>
  </si>
  <si>
    <t>EUR SWAP ANN (VS 6M) 5Y</t>
  </si>
  <si>
    <t>19/11/2025</t>
  </si>
  <si>
    <t>EUR SWAP ANN (VS 6M) 6Y</t>
  </si>
  <si>
    <t>19/11/2026</t>
  </si>
  <si>
    <t>EUR SWAP ANN (VS 6M) 7Y</t>
  </si>
  <si>
    <t>19/11/2027</t>
  </si>
  <si>
    <t>EUR SWAP ANN (VS 6M) 8Y</t>
  </si>
  <si>
    <t>19/11/2028</t>
  </si>
  <si>
    <t>EUR SWAP ANN (VS 6M) 9Y</t>
  </si>
  <si>
    <t>19/11/2029</t>
  </si>
  <si>
    <t>EUR SWAP ANN (VS 6M) 10Y</t>
  </si>
  <si>
    <t>19/11/2030</t>
  </si>
  <si>
    <t>EUR SWAP ANN (VS 6M) 11Y</t>
  </si>
  <si>
    <t>19/11/2031</t>
  </si>
  <si>
    <t>EUR SWAP ANN (VS 6M) 12Y</t>
  </si>
  <si>
    <t>19/11/2032</t>
  </si>
  <si>
    <t>EUR SWAP ANN (VS 6M) 15Y</t>
  </si>
  <si>
    <t>19/11/2035</t>
  </si>
  <si>
    <t>EUR SWAP ANN (VS 6M) 20Y</t>
  </si>
  <si>
    <t>19/11/2040</t>
  </si>
  <si>
    <t>EUR SWAP ANN (VS 6M) 25Y</t>
  </si>
  <si>
    <t>19/11/2045</t>
  </si>
  <si>
    <t>EUR SWAP ANN (VS 6M) 30Y</t>
  </si>
  <si>
    <t>19/11/2050</t>
  </si>
  <si>
    <t>EUR SWAP ANN (VS 6M) 35Y</t>
  </si>
  <si>
    <t>19/11/2055</t>
  </si>
  <si>
    <t>EUR SWAP ANN (VS 6M) 40Y</t>
  </si>
  <si>
    <t>19/11/2060</t>
  </si>
  <si>
    <t>EUR SWAP ANN (VS 6M) 45Y</t>
  </si>
  <si>
    <t>19/11/2065</t>
  </si>
  <si>
    <t>EUR SWAP ANN (VS 6M) 50Y</t>
  </si>
  <si>
    <t>19/11/2070</t>
  </si>
  <si>
    <t>EMMI EURO OverNight Index Aver</t>
  </si>
  <si>
    <t>Euribor 1 Month ACT/360</t>
  </si>
  <si>
    <t>Euribor 3 Month ACT/360</t>
  </si>
  <si>
    <t>Euribor 6 Month ACT/360</t>
  </si>
  <si>
    <t>Euribor 12 Month ACT/360</t>
  </si>
  <si>
    <t>EUR SWAP ANN (VS 1M) 2M</t>
  </si>
  <si>
    <t>EUR SWAP ANN (VS 1M) 3M</t>
  </si>
  <si>
    <t>EUR SWAP ANN (VS 1M) 6M</t>
  </si>
  <si>
    <t>EUR SWAP ANN (VS 1M) 9M</t>
  </si>
  <si>
    <t>EUR BS (1M VS 3M) 1Y</t>
  </si>
  <si>
    <t>EUR BS (1M VS 3M) 2Y</t>
  </si>
  <si>
    <t>EUR BS (1M VS 3M) 3Y</t>
  </si>
  <si>
    <t>EUR BS (1M VS 3M) 4Y</t>
  </si>
  <si>
    <t>EUR BS (1M VS 3M) 5Y</t>
  </si>
  <si>
    <t>EUR BS (1M VS 3M) 6Y</t>
  </si>
  <si>
    <t>EUR BS (1M VS 3M) 7Y</t>
  </si>
  <si>
    <t>EUR BS (1M VS 3M) 8Y</t>
  </si>
  <si>
    <t>EUR BS (1M VS 3M) 9Y</t>
  </si>
  <si>
    <t>EUR BS (1M VS 3M) 10Y</t>
  </si>
  <si>
    <t>EUR BS (1M VS 3M) 12Y</t>
  </si>
  <si>
    <t>EUR BS (1M VS 3M) 15Y</t>
  </si>
  <si>
    <t>EUR BS (1M VS 3M) 20Y</t>
  </si>
  <si>
    <t>EUR BS (1M VS 3M) 25Y</t>
  </si>
  <si>
    <t>EUR BS (1M VS 3M) 30Y</t>
  </si>
  <si>
    <t>EUR BS (1M VS 3M) 40Y</t>
  </si>
  <si>
    <t>EUR BS (1M VS 3M) 50Y</t>
  </si>
  <si>
    <t>EUR BS (3M VS 6M) 1Y</t>
  </si>
  <si>
    <t>EUR BS (3M VS 6M) 2Y</t>
  </si>
  <si>
    <t>EUR BS (3M VS 6M) 3Y</t>
  </si>
  <si>
    <t>EUR BS (3M VS 6M) 4Y</t>
  </si>
  <si>
    <t>EUR BS (3M VS 6M) 5Y</t>
  </si>
  <si>
    <t>EUR BS (3M VS 6M) 6Y</t>
  </si>
  <si>
    <t>EUR BS (3M VS 6M) 7Y</t>
  </si>
  <si>
    <t>EUR BS (3M VS 6M) 8Y</t>
  </si>
  <si>
    <t>EUR BS (3M VS 6M) 9Y</t>
  </si>
  <si>
    <t>EUR BS (3M VS 6M) 10Y</t>
  </si>
  <si>
    <t>EUR BS (3M VS 6M) 12Y</t>
  </si>
  <si>
    <t>EUR BS (3M VS 6M) 15Y</t>
  </si>
  <si>
    <t>EUR BS (3M VS 6M) 20Y</t>
  </si>
  <si>
    <t>EUR BS (3M VS 6M) 25Y</t>
  </si>
  <si>
    <t>EUR BS (3M VS 6M) 30Y</t>
  </si>
  <si>
    <t>EUR BS (3M VS 6M) 40Y</t>
  </si>
  <si>
    <t>EUR BS (3M VS 6M) 50Y</t>
  </si>
  <si>
    <t>EUR BS (6M VS 12M) 1Y</t>
  </si>
  <si>
    <t>EUR BS (6M VS 12M) 2Y</t>
  </si>
  <si>
    <t>EUR BS (6M VS 12M) 3Y</t>
  </si>
  <si>
    <t>EUR BS (6M VS 12M) 4Y</t>
  </si>
  <si>
    <t>EUR BS (6M VS 12M) 5Y</t>
  </si>
  <si>
    <t>EUR BS (6M VS 12M) 6Y</t>
  </si>
  <si>
    <t>EUR BS (6M VS 12M) 7Y</t>
  </si>
  <si>
    <t>EUR BS (6M VS 12M) 8Y</t>
  </si>
  <si>
    <t>EUR BS (6M VS 12M) 9Y</t>
  </si>
  <si>
    <t>EUR BS (6M VS 12M) 10Y</t>
  </si>
  <si>
    <t>EUR BS (6M VS 12M) 12Y</t>
  </si>
  <si>
    <t>EUR BS (6M VS 12M) 15Y</t>
  </si>
  <si>
    <t>EUR BS (6M VS 12M) 20Y</t>
  </si>
  <si>
    <t>EUR BS (6M VS 12M) 25Y</t>
  </si>
  <si>
    <t>EUR BS (6M VS 12M) 30Y</t>
  </si>
  <si>
    <t>EUR BS (6M VS 12M) 40Y</t>
  </si>
  <si>
    <t>EUR BS (6M VS 12M) 50Y</t>
  </si>
  <si>
    <t>Time</t>
  </si>
  <si>
    <t>EUR</t>
  </si>
  <si>
    <t>BBG Convexity</t>
  </si>
  <si>
    <t>USD</t>
  </si>
  <si>
    <t>FF1</t>
  </si>
  <si>
    <t>FF2</t>
  </si>
  <si>
    <t>FF3</t>
  </si>
  <si>
    <t>FF4</t>
  </si>
  <si>
    <t>FF5</t>
  </si>
  <si>
    <t>FF6</t>
  </si>
  <si>
    <t>FF7</t>
  </si>
  <si>
    <t>FF8</t>
  </si>
  <si>
    <t>FF9</t>
  </si>
  <si>
    <t>FF10</t>
  </si>
  <si>
    <t>FF11</t>
  </si>
  <si>
    <t>FF12</t>
  </si>
  <si>
    <t>Swap Compound</t>
  </si>
  <si>
    <t>USSF1A</t>
  </si>
  <si>
    <t>USSF2A</t>
  </si>
  <si>
    <t>USSF3A</t>
  </si>
  <si>
    <t>USSF4A</t>
  </si>
  <si>
    <t>USSF5A</t>
  </si>
  <si>
    <t>USSF6A</t>
  </si>
  <si>
    <t>USSF7A</t>
  </si>
  <si>
    <t>USSF8A</t>
  </si>
  <si>
    <t>redundant due to futures above</t>
  </si>
  <si>
    <t>ED1</t>
  </si>
  <si>
    <t>ED2</t>
  </si>
  <si>
    <t>ED3</t>
  </si>
  <si>
    <t>ED4</t>
  </si>
  <si>
    <t>ED5</t>
  </si>
  <si>
    <t>ED6</t>
  </si>
  <si>
    <t>ED7</t>
  </si>
  <si>
    <t>ED8</t>
  </si>
  <si>
    <t>ED9</t>
  </si>
  <si>
    <t>ED10</t>
  </si>
  <si>
    <t>ED11</t>
  </si>
  <si>
    <t>ED12</t>
  </si>
  <si>
    <t>ED13</t>
  </si>
  <si>
    <t>ED14</t>
  </si>
  <si>
    <t>ED15</t>
  </si>
  <si>
    <t>ED16</t>
  </si>
  <si>
    <t>SOFR</t>
  </si>
  <si>
    <t>FF</t>
  </si>
  <si>
    <t>ESTR</t>
  </si>
  <si>
    <t>ESTRON</t>
  </si>
  <si>
    <t>EEOBVC1</t>
  </si>
  <si>
    <t>EEOBVC2</t>
  </si>
  <si>
    <t>EEOBVC3</t>
  </si>
  <si>
    <t>EEOBVC4</t>
  </si>
  <si>
    <t>EEOBVC5</t>
  </si>
  <si>
    <t>EEOBVC6</t>
  </si>
  <si>
    <t>EEOBVC7</t>
  </si>
  <si>
    <t>EEOBVC8</t>
  </si>
  <si>
    <t>EEOBVC9</t>
  </si>
  <si>
    <t>EEOBVC10</t>
  </si>
  <si>
    <t>EEOBVC12</t>
  </si>
  <si>
    <t>EEOBVC15</t>
  </si>
  <si>
    <t>EEOBVC20</t>
  </si>
  <si>
    <t>EEOBVC25</t>
  </si>
  <si>
    <t>EEOBVC30</t>
  </si>
  <si>
    <t>EEOBVC40</t>
  </si>
  <si>
    <t>EEOBVC50</t>
  </si>
  <si>
    <t>FF13</t>
  </si>
  <si>
    <t>FF14</t>
  </si>
  <si>
    <t>FF15</t>
  </si>
  <si>
    <t>FF16</t>
  </si>
  <si>
    <t>OIS futures/Meetings</t>
  </si>
  <si>
    <t>OIS swaps</t>
  </si>
  <si>
    <t>USSFVF1</t>
  </si>
  <si>
    <t>USSFVF2</t>
  </si>
  <si>
    <t>USSFVF3</t>
  </si>
  <si>
    <t>USSFVF4</t>
  </si>
  <si>
    <t>USSFVF5</t>
  </si>
  <si>
    <t>USSFVF6</t>
  </si>
  <si>
    <t>USSFVF7</t>
  </si>
  <si>
    <t>USSFVF8</t>
  </si>
  <si>
    <t>USSFVF9</t>
  </si>
  <si>
    <t>USSFVF10</t>
  </si>
  <si>
    <t>USSFVF11</t>
  </si>
  <si>
    <t>USSFVF12</t>
  </si>
  <si>
    <t>USSFVF15</t>
  </si>
  <si>
    <t>USSFVF20</t>
  </si>
  <si>
    <t>USSFVF25</t>
  </si>
  <si>
    <t>USSFVF30</t>
  </si>
  <si>
    <t>USSFVF40</t>
  </si>
  <si>
    <t>USSFVF50</t>
  </si>
  <si>
    <t>EOBSVC1</t>
  </si>
  <si>
    <t>EOBSVC2</t>
  </si>
  <si>
    <t>EOBSVC3</t>
  </si>
  <si>
    <t>EOBSVC4</t>
  </si>
  <si>
    <t>EOBSVC5</t>
  </si>
  <si>
    <t>EOBSVC6</t>
  </si>
  <si>
    <t>EOBSVC7</t>
  </si>
  <si>
    <t>EOBSVC8</t>
  </si>
  <si>
    <t>EOBSVC9</t>
  </si>
  <si>
    <t>EOBSVC10</t>
  </si>
  <si>
    <t>EOBSVC12</t>
  </si>
  <si>
    <t>EOBSVC15</t>
  </si>
  <si>
    <t>EOBSVC20</t>
  </si>
  <si>
    <t>EOBSVC25</t>
  </si>
  <si>
    <t>EOBSVC30</t>
  </si>
  <si>
    <t>EOBSVC40</t>
  </si>
  <si>
    <t>EOBSVC50</t>
  </si>
  <si>
    <t>EUFOSC1</t>
  </si>
  <si>
    <t>EUFOSC2</t>
  </si>
  <si>
    <t>EUFOSC3</t>
  </si>
  <si>
    <t>EUFOSC4</t>
  </si>
  <si>
    <t>EUFOSC5</t>
  </si>
  <si>
    <t>EUFOSC6</t>
  </si>
  <si>
    <t>EUFOSC7</t>
  </si>
  <si>
    <t>EUFOSC8</t>
  </si>
  <si>
    <t>EUFOSC9</t>
  </si>
  <si>
    <t>EUFOSC10</t>
  </si>
  <si>
    <t>EUFOSC11</t>
  </si>
  <si>
    <t>EUFOSC12</t>
  </si>
  <si>
    <t>Tenor basis (2 swaps)</t>
  </si>
  <si>
    <t>USFOSC1</t>
  </si>
  <si>
    <t>USFOSC2</t>
  </si>
  <si>
    <t>USFOSC3</t>
  </si>
  <si>
    <t>USFOSC4</t>
  </si>
  <si>
    <t>USFOSC5</t>
  </si>
  <si>
    <t>USFOSC6</t>
  </si>
  <si>
    <t>USFOSC7</t>
  </si>
  <si>
    <t>USFOSC8</t>
  </si>
  <si>
    <t>USFOSC9</t>
  </si>
  <si>
    <t>USFOSC10</t>
  </si>
  <si>
    <t>USFOSC11</t>
  </si>
  <si>
    <t>USFOSC12</t>
  </si>
  <si>
    <t>USBG1</t>
  </si>
  <si>
    <t>USBG2</t>
  </si>
  <si>
    <t>USBG3</t>
  </si>
  <si>
    <t>USBG4</t>
  </si>
  <si>
    <t>USBG5</t>
  </si>
  <si>
    <t>USBG6</t>
  </si>
  <si>
    <t>USBG7</t>
  </si>
  <si>
    <t>USBG8</t>
  </si>
  <si>
    <t>USBG9</t>
  </si>
  <si>
    <t>USBG10</t>
  </si>
  <si>
    <t>USBG12</t>
  </si>
  <si>
    <t>USBG15</t>
  </si>
  <si>
    <t>USBG20</t>
  </si>
  <si>
    <t>USBG25</t>
  </si>
  <si>
    <t>USBG30</t>
  </si>
  <si>
    <t>USBG40</t>
  </si>
  <si>
    <t>USBG50</t>
  </si>
  <si>
    <t>USSW1</t>
  </si>
  <si>
    <t>USSW2</t>
  </si>
  <si>
    <t>USSW3</t>
  </si>
  <si>
    <t>USSW4</t>
  </si>
  <si>
    <t>USSW5</t>
  </si>
  <si>
    <t>USSW6</t>
  </si>
  <si>
    <t>USSW7</t>
  </si>
  <si>
    <t>USSW8</t>
  </si>
  <si>
    <t>USSW9</t>
  </si>
  <si>
    <t>USSW10</t>
  </si>
  <si>
    <t>USSW11</t>
  </si>
  <si>
    <t>USSW12</t>
  </si>
  <si>
    <t>USSW15</t>
  </si>
  <si>
    <t>USSW20</t>
  </si>
  <si>
    <t>USSW25</t>
  </si>
  <si>
    <t>USSW30</t>
  </si>
  <si>
    <t>USSW35</t>
  </si>
  <si>
    <t>USSW40</t>
  </si>
  <si>
    <t>USSW45</t>
  </si>
  <si>
    <t>USSW50</t>
  </si>
  <si>
    <t>FEDL01</t>
  </si>
  <si>
    <t>SOFRRATE</t>
  </si>
  <si>
    <t>US0001M</t>
  </si>
  <si>
    <t>US0003M</t>
  </si>
  <si>
    <t>US0006M</t>
  </si>
  <si>
    <t>US0012M</t>
  </si>
  <si>
    <t>Eurodollar Future</t>
  </si>
  <si>
    <t>USSWBV1</t>
  </si>
  <si>
    <t>USSWCV1</t>
  </si>
  <si>
    <t>USSWFV1</t>
  </si>
  <si>
    <t>USSWIV1</t>
  </si>
  <si>
    <t>USBA1</t>
  </si>
  <si>
    <t>USBA2</t>
  </si>
  <si>
    <t>USBA3</t>
  </si>
  <si>
    <t>USBA4</t>
  </si>
  <si>
    <t>USBA5</t>
  </si>
  <si>
    <t>USBA6</t>
  </si>
  <si>
    <t>USBA7</t>
  </si>
  <si>
    <t>USBA8</t>
  </si>
  <si>
    <t>USBA9</t>
  </si>
  <si>
    <t>USBA10</t>
  </si>
  <si>
    <t>USBA12</t>
  </si>
  <si>
    <t>USBA15</t>
  </si>
  <si>
    <t>USBA20</t>
  </si>
  <si>
    <t>USBA25</t>
  </si>
  <si>
    <t>USBA30</t>
  </si>
  <si>
    <t>USBA40</t>
  </si>
  <si>
    <t>USBA50</t>
  </si>
  <si>
    <t>USBC1</t>
  </si>
  <si>
    <t>USBC2</t>
  </si>
  <si>
    <t>USBC3</t>
  </si>
  <si>
    <t>USBC4</t>
  </si>
  <si>
    <t>USBC5</t>
  </si>
  <si>
    <t>USBC6</t>
  </si>
  <si>
    <t>USBC7</t>
  </si>
  <si>
    <t>USBC8</t>
  </si>
  <si>
    <t>USBC9</t>
  </si>
  <si>
    <t>USBC10</t>
  </si>
  <si>
    <t>USBC12</t>
  </si>
  <si>
    <t>USBC15</t>
  </si>
  <si>
    <t>USBC20</t>
  </si>
  <si>
    <t>USBC25</t>
  </si>
  <si>
    <t>USBC30</t>
  </si>
  <si>
    <t>USBC40</t>
  </si>
  <si>
    <t>USBC50</t>
  </si>
  <si>
    <t>Illiquid</t>
  </si>
  <si>
    <t>EUR OIS/USD OIS</t>
  </si>
  <si>
    <t>EUR3M/USD3m</t>
  </si>
  <si>
    <t>EUBS1</t>
  </si>
  <si>
    <t>EUBS2</t>
  </si>
  <si>
    <t>EUBS3</t>
  </si>
  <si>
    <t>EUBS4</t>
  </si>
  <si>
    <t>EUBS5</t>
  </si>
  <si>
    <t>EUBS6</t>
  </si>
  <si>
    <t>EUBS7</t>
  </si>
  <si>
    <t>EUBS8</t>
  </si>
  <si>
    <t>EUBS9</t>
  </si>
  <si>
    <t>EUBS10</t>
  </si>
  <si>
    <t>EUBS12</t>
  </si>
  <si>
    <t>EUBS15</t>
  </si>
  <si>
    <t>EUBS20</t>
  </si>
  <si>
    <t>EUBS25</t>
  </si>
  <si>
    <t>EUBS30</t>
  </si>
  <si>
    <t>EUBS40</t>
  </si>
  <si>
    <t>EUBS50</t>
  </si>
  <si>
    <t>EUUS1M</t>
  </si>
  <si>
    <t>EUUS3M</t>
  </si>
  <si>
    <t>EUUS6M</t>
  </si>
  <si>
    <t>EUUS2M</t>
  </si>
  <si>
    <t>EUUS9M</t>
  </si>
  <si>
    <t>FX FWD</t>
  </si>
  <si>
    <t>XCCY</t>
  </si>
  <si>
    <t>FED FUND 30DAY    Nov20</t>
  </si>
  <si>
    <t>01/11/2020</t>
  </si>
  <si>
    <t>30/11/2020</t>
  </si>
  <si>
    <t>FED FUND 30DAY    Dec20</t>
  </si>
  <si>
    <t>01/12/2020</t>
  </si>
  <si>
    <t>31/12/2020</t>
  </si>
  <si>
    <t>FED FUND 30DAY    Jan21</t>
  </si>
  <si>
    <t>01/01/2021</t>
  </si>
  <si>
    <t>31/01/2021</t>
  </si>
  <si>
    <t>FED FUND 30DAY    Feb21</t>
  </si>
  <si>
    <t>01/02/2021</t>
  </si>
  <si>
    <t>28/02/2021</t>
  </si>
  <si>
    <t>FED FUND 30DAY    Mar21</t>
  </si>
  <si>
    <t>01/03/2021</t>
  </si>
  <si>
    <t>31/03/2021</t>
  </si>
  <si>
    <t>FED FUND 30DAY    Apr21</t>
  </si>
  <si>
    <t>01/04/2021</t>
  </si>
  <si>
    <t>30/04/2021</t>
  </si>
  <si>
    <t>FED FUND 30DAY    May21</t>
  </si>
  <si>
    <t>01/05/2021</t>
  </si>
  <si>
    <t>31/05/2021</t>
  </si>
  <si>
    <t>FED FUND 30DAY    Jun21</t>
  </si>
  <si>
    <t>01/06/2021</t>
  </si>
  <si>
    <t>30/06/2021</t>
  </si>
  <si>
    <t>FED FUND 30DAY    Jul21</t>
  </si>
  <si>
    <t>01/07/2021</t>
  </si>
  <si>
    <t>31/07/2021</t>
  </si>
  <si>
    <t>FED FUND 30DAY    Aug21</t>
  </si>
  <si>
    <t>01/08/2021</t>
  </si>
  <si>
    <t>31/08/2021</t>
  </si>
  <si>
    <t>FED FUND 30DAY    Sep21</t>
  </si>
  <si>
    <t>01/09/2021</t>
  </si>
  <si>
    <t>30/09/2021</t>
  </si>
  <si>
    <t>FED FUND 30DAY    Oct21</t>
  </si>
  <si>
    <t>01/10/2021</t>
  </si>
  <si>
    <t>31/10/2021</t>
  </si>
  <si>
    <t>FED FUND 30DAY    Nov21</t>
  </si>
  <si>
    <t>01/11/2021</t>
  </si>
  <si>
    <t>30/11/2021</t>
  </si>
  <si>
    <t>FED FUND 30DAY    Dec21</t>
  </si>
  <si>
    <t>01/12/2021</t>
  </si>
  <si>
    <t>31/12/2021</t>
  </si>
  <si>
    <t>FED FUND 30DAY    Jan22</t>
  </si>
  <si>
    <t>01/01/2022</t>
  </si>
  <si>
    <t>31/01/2022</t>
  </si>
  <si>
    <t>FED FUND 30DAY    Feb22</t>
  </si>
  <si>
    <t>01/02/2022</t>
  </si>
  <si>
    <t>28/02/2022</t>
  </si>
  <si>
    <t>EUR 2 Basis (ESTR V 3M)</t>
  </si>
  <si>
    <t>USD OIS SOFR VS FF 1Y</t>
  </si>
  <si>
    <t>USD OIS SOFR VS FF 2Y</t>
  </si>
  <si>
    <t>USD OIS SOFR VS FF 3Y</t>
  </si>
  <si>
    <t>USD OIS SOFR VS FF 4Y</t>
  </si>
  <si>
    <t>USD OIS SOFR VS FF 5Y</t>
  </si>
  <si>
    <t>USD OIS SOFR VS FF 6Y</t>
  </si>
  <si>
    <t>USD OIS SOFR VS FF 7Y</t>
  </si>
  <si>
    <t>USD OIS SOFR VS FF 8Y</t>
  </si>
  <si>
    <t>USD OIS SOFR VS FF 9Y</t>
  </si>
  <si>
    <t>USD OIS SOFR VS FF 10Y</t>
  </si>
  <si>
    <t>USD OIS SOFR VS FF 11Y</t>
  </si>
  <si>
    <t>USD OIS SOFR VS FF 12Y</t>
  </si>
  <si>
    <t>USD OIS SOFR VS FF 15Y</t>
  </si>
  <si>
    <t>USD OIS SOFR VS FF 20Y</t>
  </si>
  <si>
    <t>USD OIS SOFR VS FF 25Y</t>
  </si>
  <si>
    <t>USD OIS SOFR VS FF 30Y</t>
  </si>
  <si>
    <t>USD OIS SOFR VS FF 40Y</t>
  </si>
  <si>
    <t>USD OIS SOFR VS FF 50Y</t>
  </si>
  <si>
    <t>USD FRA IRS 1MO 1ST FOMC</t>
  </si>
  <si>
    <t>USD FRA IRS 1MO 2ND FOMC</t>
  </si>
  <si>
    <t>USD FRA IRS 1MO 3RD FOMC</t>
  </si>
  <si>
    <t>USD FRA IRS 1MO 4TH FOMC</t>
  </si>
  <si>
    <t>USD FRA IRS 1MO 5TH FOMC</t>
  </si>
  <si>
    <t>USD FRA IRS 1MO 6TH FOMC</t>
  </si>
  <si>
    <t>USD FRA IRS 1MO 7TH FOMC</t>
  </si>
  <si>
    <t>20/03/2024</t>
  </si>
  <si>
    <t>19/06/2024</t>
  </si>
  <si>
    <t>18/09/2024</t>
  </si>
  <si>
    <t>18/12/2024</t>
  </si>
  <si>
    <t>USD SWAP SEMI 30/360 1YR</t>
  </si>
  <si>
    <t>USD SWAP SEMI 30/360 2YR</t>
  </si>
  <si>
    <t>USD SWAP SEMI 30/360 3YR</t>
  </si>
  <si>
    <t>USD SWAP SEMI 30/360 4YR</t>
  </si>
  <si>
    <t>USD SWAP SEMI 30/360 5YR</t>
  </si>
  <si>
    <t>USD SWAP SEMI 30/360 6YR</t>
  </si>
  <si>
    <t>USD SWAP SEMI 30/360 7YR</t>
  </si>
  <si>
    <t>USD SWAP SEMI 30/360 8YR</t>
  </si>
  <si>
    <t>USD SWAP SEMI 30/360 9YR</t>
  </si>
  <si>
    <t>USD SWAP SEMI 30/360 10Y</t>
  </si>
  <si>
    <t>USD SWAP SEMI 30/360 11Y</t>
  </si>
  <si>
    <t>USD SWAP SEMI 30/360 12Y</t>
  </si>
  <si>
    <t>USD SWAP SEMI 30/360 15Y</t>
  </si>
  <si>
    <t>USD SWAP SEMI 30/360 20Y</t>
  </si>
  <si>
    <t>USD SWAP SEMI 30/360 25Y</t>
  </si>
  <si>
    <t>USD SWAP SEMI 30/360 30Y</t>
  </si>
  <si>
    <t>USD SWAP SEMI 30/360 35Y</t>
  </si>
  <si>
    <t>#N/A N/A</t>
  </si>
  <si>
    <t>USD SWAP SEMI 30/360 40Y</t>
  </si>
  <si>
    <t>USD SWAP SEMI 30/360 45Y</t>
  </si>
  <si>
    <t>USD SWAP SEMI 30/360 50Y</t>
  </si>
  <si>
    <t>#N/A Invalid Security</t>
  </si>
  <si>
    <t>US Federal Funds Effective Rat</t>
  </si>
  <si>
    <t>United States SOFR Secured Ove</t>
  </si>
  <si>
    <t>ICE LIBOR USD 1 Month</t>
  </si>
  <si>
    <t>ICE LIBOR USD 3 Month</t>
  </si>
  <si>
    <t>ICE LIBOR USD 6 Month</t>
  </si>
  <si>
    <t>ICE LIBOR USD 12 Month</t>
  </si>
  <si>
    <t>EUR FRA-OIS SPRD 3M IMM1</t>
  </si>
  <si>
    <t>USD FRA-OIS SPRD 3M IMM1</t>
  </si>
  <si>
    <t>EUR FRA-OIS SPRD 3M IMM2</t>
  </si>
  <si>
    <t>USD FRA-OIS SPRD 3M IMM2</t>
  </si>
  <si>
    <t>EUR FRA-OIS SPRD 3M IMM3</t>
  </si>
  <si>
    <t>USD FRA-OIS SPRD 3M IMM3</t>
  </si>
  <si>
    <t>EUR FRA-OIS SPRD 3M IMM4</t>
  </si>
  <si>
    <t>USD FRA-OIS SPRD 3M IMM4</t>
  </si>
  <si>
    <t>EUR FRA-OIS SPRD 3M IMM5</t>
  </si>
  <si>
    <t>USD FRA-OIS SPRD 3M IMM5</t>
  </si>
  <si>
    <t>EUR FRA-OIS SPRD 3M IMM6</t>
  </si>
  <si>
    <t>USD FRA-OIS SPRD 3M IMM6</t>
  </si>
  <si>
    <t>EUR FRA-OIS SPRD 3M IMM7</t>
  </si>
  <si>
    <t>USD FRA-OIS SPRD 3M IMM7</t>
  </si>
  <si>
    <t>EUR FRA-OIS SPRD 3M IMM8</t>
  </si>
  <si>
    <t>USD FRA-OIS SPRD 3M IMM8</t>
  </si>
  <si>
    <t>EUR FRA-OIS SPRD 3M IMM9</t>
  </si>
  <si>
    <t>USD FRA-OIS SPRD 3M IMM9</t>
  </si>
  <si>
    <t>USD FRA-OIS SPD 3M IMM10</t>
  </si>
  <si>
    <t>USD FRA-OIS SPD 3M IMM11</t>
  </si>
  <si>
    <t>USD FRA-OIS SPD 3M IMM12</t>
  </si>
  <si>
    <t>EUR 2 BS(EONIA V 3M) 1Y</t>
  </si>
  <si>
    <t>USD BS (3M vs FF1D) 1Y</t>
  </si>
  <si>
    <t>EUR 2 BS(EONIA V 3M) 2Y</t>
  </si>
  <si>
    <t>USD BS (3M vs FF1D) 2Y</t>
  </si>
  <si>
    <t>EUR 2 BS(EONIA V 3M) 3Y</t>
  </si>
  <si>
    <t>USD BS (3M vs FF1D) 3Y</t>
  </si>
  <si>
    <t>EUR 2 BS(EONIA V 3M) 4Y</t>
  </si>
  <si>
    <t>USD BS (3M vs FF1D) 4Y</t>
  </si>
  <si>
    <t>EUR 2 BS(EONIA V 3M) 5Y</t>
  </si>
  <si>
    <t>USD BS (3M vs FF1D) 5Y</t>
  </si>
  <si>
    <t>EUR 2 BS(EONIA V 3M) 6Y</t>
  </si>
  <si>
    <t>USD BS (3M vs FF1D) 6Y</t>
  </si>
  <si>
    <t>EUR 2 BS(EONIA V 3M) 7Y</t>
  </si>
  <si>
    <t>USD BS (3M vs FF1D) 7Y</t>
  </si>
  <si>
    <t>EUR 2 BS(EONIA V 3M) 8Y</t>
  </si>
  <si>
    <t>USD BS (3M vs FF1D) 8Y</t>
  </si>
  <si>
    <t>EUR 2 BS(EONIA V 3M) 9Y</t>
  </si>
  <si>
    <t>USD BS (3M vs FF1D) 9Y</t>
  </si>
  <si>
    <t>EUR 2 BS(EONIA V 3M) 10Y</t>
  </si>
  <si>
    <t>USD BS (3M vs FF1D) 10Y</t>
  </si>
  <si>
    <t>EUR 2 BS(EONIA V 3M) 12Y</t>
  </si>
  <si>
    <t>USD BS (3M vs FF1D) 12Y</t>
  </si>
  <si>
    <t>EUR 2 BS(EONIA V 3M) 15Y</t>
  </si>
  <si>
    <t>USD BS (3M vs FF1D) 15Y</t>
  </si>
  <si>
    <t>EUR 2 BS(EONIA V 3M) 20Y</t>
  </si>
  <si>
    <t>USD BS (3M vs FF1D) 20Y</t>
  </si>
  <si>
    <t>EUR 2 BS(EONIA V 3M) 25Y</t>
  </si>
  <si>
    <t>USD BS (3M vs FF1D) 25Y</t>
  </si>
  <si>
    <t>EUR 2 BS(EONIA V 3M) 30Y</t>
  </si>
  <si>
    <t>USD BS (3M vs FF1D) 30Y</t>
  </si>
  <si>
    <t>EUR 2 BS(EONIA V 3M) 40Y</t>
  </si>
  <si>
    <t>USD BS (3M vs FF1D) 40Y</t>
  </si>
  <si>
    <t>EUR 2 BS(EONIA V 3M) 50Y</t>
  </si>
  <si>
    <t>USD BS (3M vs FF1D) 50Y</t>
  </si>
  <si>
    <t>USD SWAP (VS 1M LIB) 2MO</t>
  </si>
  <si>
    <t>USD SWAP ANN (VS 1M) 3M</t>
  </si>
  <si>
    <t>USD SWAP (V1M LIB) 6M</t>
  </si>
  <si>
    <t>USD SWAP (V1M LIB) 9M</t>
  </si>
  <si>
    <t>USD BASIS SWP(1Mv3M) 1Y</t>
  </si>
  <si>
    <t>USD BASIS SWP(1Mv3M) 2Y</t>
  </si>
  <si>
    <t>USD BASIS SWP(1Mv3M) 3Y</t>
  </si>
  <si>
    <t>USD BASIS SWP(1Mv3M) 4Y</t>
  </si>
  <si>
    <t>USD BASIS SWP(1Mv3M) 5Y</t>
  </si>
  <si>
    <t>USD BASIS SWP(1Mv3M) 6Y</t>
  </si>
  <si>
    <t>USD BASIS SWP(1Mv3M) 7Y</t>
  </si>
  <si>
    <t>USD BASIS SWP(1Mv3M) 8Y</t>
  </si>
  <si>
    <t>USD BASIS SWP(1Mv3M) 9Y</t>
  </si>
  <si>
    <t>USD BASIS SWP(1Mv3M) 10Y</t>
  </si>
  <si>
    <t>USD BASIS SWP(1Mv3M) 12Y</t>
  </si>
  <si>
    <t>USD BASIS SWP(1Mv3M) 15Y</t>
  </si>
  <si>
    <t>USD BASIS SWP(1Mv3M) 20Y</t>
  </si>
  <si>
    <t>USD BASIS SWP(1Mv3M) 25Y</t>
  </si>
  <si>
    <t>USD BASIS SWP(1Mv3M) 30Y</t>
  </si>
  <si>
    <t>USD BASIS SWAP 1v3 40 YR</t>
  </si>
  <si>
    <t>USD BASIS SWP(1Mv3M) 50Y</t>
  </si>
  <si>
    <t>USD BS (3M vs 6M)1Y</t>
  </si>
  <si>
    <t>USD BS (3M vs 6M)2Y</t>
  </si>
  <si>
    <t>USD BS (3M vs 6M)3Y</t>
  </si>
  <si>
    <t>USD BS (3M vs 6M)4Y</t>
  </si>
  <si>
    <t>USD BS (3M vs 6M)5Y</t>
  </si>
  <si>
    <t>USD BS (3M vs 6M)6Y</t>
  </si>
  <si>
    <t>USD BS (3M vs 6M)7Y</t>
  </si>
  <si>
    <t>USD BS (3M vs 6M)8Y</t>
  </si>
  <si>
    <t>USD BS (3M vs 6M)9Y</t>
  </si>
  <si>
    <t>USD BS (3M vs 6M)10Y</t>
  </si>
  <si>
    <t>USD BS (3M vs 6M)12Y</t>
  </si>
  <si>
    <t>USD BS (3M vs 6M)15Y</t>
  </si>
  <si>
    <t>USD BS (3M vs 6M)20Y</t>
  </si>
  <si>
    <t>USD BS (3M vs 6M)25Y</t>
  </si>
  <si>
    <t>USD BS (3M vs 6M)30Y</t>
  </si>
  <si>
    <t>USD BS (3M vs 6M)40Y</t>
  </si>
  <si>
    <t>USD BS (3M vs 6M)50Y</t>
  </si>
  <si>
    <t>USD-EUR X-RATE      1 MO</t>
  </si>
  <si>
    <t>21/12/2020</t>
  </si>
  <si>
    <t>USD-EUR X-RATE      2 MO</t>
  </si>
  <si>
    <t>19/01/2021</t>
  </si>
  <si>
    <t>USD-EUR X-RATE      3 MO</t>
  </si>
  <si>
    <t>18/02/2021</t>
  </si>
  <si>
    <t>USD-EUR X-RATE      6 MO</t>
  </si>
  <si>
    <t>19/05/2021</t>
  </si>
  <si>
    <t>USD-EUR X-RATE      9 MO</t>
  </si>
  <si>
    <t>19/08/2021</t>
  </si>
  <si>
    <t>EURUSD BS (3M VS 3M) 1Y</t>
  </si>
  <si>
    <t>EURUSD BS (3M VS 3M) 2Y</t>
  </si>
  <si>
    <t>EURUSD BS (3M VS 3M) 3Y</t>
  </si>
  <si>
    <t>EURUSD BS (3M VS 3M) 4Y</t>
  </si>
  <si>
    <t>EURUSD BS (3M VS 3M) 5Y</t>
  </si>
  <si>
    <t>EURUSD BS (3M VS 3M) 6Y</t>
  </si>
  <si>
    <t>EURUSD BS (3M VS 3M) 7Y</t>
  </si>
  <si>
    <t>EURUSD BS (3M VS 3M) 8Y</t>
  </si>
  <si>
    <t>EURUSD BS (3M VS 3M) 9Y</t>
  </si>
  <si>
    <t>EURUSD BS (3M VS 3M) 10Y</t>
  </si>
  <si>
    <t>EURUSD BS (3M VS 3M) 12Y</t>
  </si>
  <si>
    <t>EURUSD BS (3M VS 3M) 15Y</t>
  </si>
  <si>
    <t>EURUSD BS (3M VS 3M) 20Y</t>
  </si>
  <si>
    <t>EURUSD BS (3M VS 3M) 25Y</t>
  </si>
  <si>
    <t>EURUSD BS (3M VS 3M) 30Y</t>
  </si>
  <si>
    <t>EURUSD BS (3M VS 3M) 40Y</t>
  </si>
  <si>
    <t>EURUSD BS (3M VS 3M) 50Y</t>
  </si>
  <si>
    <t>EUSWE3</t>
  </si>
  <si>
    <t>EUSWE4</t>
  </si>
  <si>
    <t>EUSWE5</t>
  </si>
  <si>
    <t>EUSWE7</t>
  </si>
  <si>
    <t>EUSWE10</t>
  </si>
  <si>
    <t>EUSWE15</t>
  </si>
  <si>
    <t>EUSWE20</t>
  </si>
  <si>
    <t>EUSWE30</t>
  </si>
  <si>
    <t>EUSAC0C</t>
  </si>
  <si>
    <t>EUSAF0F</t>
  </si>
  <si>
    <t>EUR-DSCON-OIS,OIS-1M,OG-Ticker,EUR-OIS-1M,MarketValue,OIS,EUR-FIXED-1Y-EONIA-OIS,1M,,,,</t>
  </si>
  <si>
    <t>EUR-DSCON-OIS,OIS-2M,OG-Ticker,EUR-OIS-2M,MarketValue,OIS,EUR-FIXED-1Y-EONIA-OIS,2M,,,,</t>
  </si>
  <si>
    <t>EUR-DSCON-OIS,OIS-3M,OG-Ticker,EUR-OIS-3M,MarketValue,OIS,EUR-FIXED-1Y-EONIA-OIS,3M,,,,</t>
  </si>
  <si>
    <t>EUR-DSCON-OIS,OIS-6M,OG-Ticker,EUR-OIS-6M,MarketValue,OIS,EUR-FIXED-1Y-EONIA-OIS,6M,,,,</t>
  </si>
  <si>
    <t>EUR-DSCON-OIS,OIS-1Y,OG-Ticker,EUR-OIS-1Y,MarketValue,OIS,EUR-FIXED-1Y-EONIA-OIS,1Y,,,,</t>
  </si>
  <si>
    <t>EUR-DSCON-OIS,OIS-2Y,OG-Ticker,EUR-OIS-2Y,MarketValue,OIS,EUR-FIXED-1Y-EONIA-OIS,2Y,,,,</t>
  </si>
  <si>
    <t>EUR-DSCON-OIS,OIS-3Y,OG-Ticker,EUR-OIS-3Y,MarketValue,OIS,EUR-FIXED-1Y-EONIA-OIS,3Y,,,,</t>
  </si>
  <si>
    <t>EUR-DSCON-OIS,OIS-4Y,OG-Ticker,EUR-OIS-4Y,MarketValue,OIS,EUR-FIXED-1Y-EONIA-OIS,4Y,,,,</t>
  </si>
  <si>
    <t>EUR-DSCON-OIS,OIS-5Y,OG-Ticker,EUR-OIS-5Y,MarketValue,OIS,EUR-FIXED-1Y-EONIA-OIS,5Y,,,,</t>
  </si>
  <si>
    <t>EUR-DSCON-OIS,OIS-7Y,OG-Ticker,EUR-OIS-7Y,MarketValue,OIS,EUR-FIXED-1Y-EONIA-OIS,7Y,,,,</t>
  </si>
  <si>
    <t>EUR-DSCON-OIS,OIS-10Y,OG-Ticker,EUR-OIS-10Y,MarketValue,OIS,EUR-FIXED-1Y-EONIA-OIS,10Y,,,,</t>
  </si>
  <si>
    <t>EUR-DSCON-OIS,OIS-15Y,OG-Ticker,EUR-OIS-15Y,MarketValue,OIS,EUR-FIXED-1Y-EONIA-OIS,15Y,,,,</t>
  </si>
  <si>
    <t>EUR-DSCON-OIS,OIS-20Y,OG-Ticker,EUR-OIS-20Y,MarketValue,OIS,EUR-FIXED-1Y-EONIA-OIS,20Y,,,,</t>
  </si>
  <si>
    <t>EUR-DSCON-OIS,OIS-30Y,OG-Ticker,EUR-OIS-30Y,MarketValue,OIS,EUR-FIXED-1Y-EONIA-OIS,30Y,,,,</t>
  </si>
  <si>
    <t>,,,,,,,,,,,</t>
  </si>
  <si>
    <t>EUR-EURIBOR3M-BS,FIX-3M,OG-Ticker,EUR-FIX-EURIBOR3M,MarketValue,FIX,EUR-EURIBOR-3M,,,,,</t>
  </si>
  <si>
    <t>EUR-EURIBOR3M-BS,FRA-3Mx6M,OG-Ticker,EUR-FRA-3Mx6M,MarketValue,FRA,EUR-EURIBOR-3M,3Mx6M,,,,</t>
  </si>
  <si>
    <t>EUR-EURIBOR3M-BS,BS-1Y,OG-Ticker,EUR-BS3M6M-1Y,MarketValue,BS3,EUR-FIXED-1Y-EURIBOR-3M-EURIBOR-6M,1Y,,,,</t>
  </si>
  <si>
    <t>EUR-EURIBOR3M-BS,BS-2Y,OG-Ticker,EUR-BS3M6M-2Y,MarketValue,BS3,EUR-FIXED-1Y-EURIBOR-3M-EURIBOR-6M,2Y,,,,</t>
  </si>
  <si>
    <t>EUR-EURIBOR3M-BS,BS-3Y,OG-Ticker,EUR-BS3M6M-3Y,MarketValue,BS3,EUR-FIXED-1Y-EURIBOR-3M-EURIBOR-6M,3Y,,,,</t>
  </si>
  <si>
    <t>EUR-EURIBOR3M-BS,BS-4Y,OG-Ticker,EUR-BS3M6M-4Y,MarketValue,BS3,EUR-FIXED-1Y-EURIBOR-3M-EURIBOR-6M,4Y,,,,</t>
  </si>
  <si>
    <t>EUR-EURIBOR3M-BS,BS-5Y,OG-Ticker,EUR-BS3M6M-5Y,MarketValue,BS3,EUR-FIXED-1Y-EURIBOR-3M-EURIBOR-6M,5Y,,,,</t>
  </si>
  <si>
    <t>EUR-EURIBOR3M-BS,BS-7Y,OG-Ticker,EUR-BS3M6M-7Y,MarketValue,BS3,EUR-FIXED-1Y-EURIBOR-3M-EURIBOR-6M,7Y,,,,</t>
  </si>
  <si>
    <t>EUR-EURIBOR3M-BS,BS-10Y,OG-Ticker,EUR-BS3M6M-10Y,MarketValue,BS3,EUR-FIXED-1Y-EURIBOR-3M-EURIBOR-6M,10Y,,,,</t>
  </si>
  <si>
    <t>EUR-EURIBOR3M-BS,BS-15Y,OG-Ticker,EUR-BS3M6M-15Y,MarketValue,BS3,EUR-FIXED-1Y-EURIBOR-3M-EURIBOR-6M,15Y,,,,</t>
  </si>
  <si>
    <t>EUR-EURIBOR3M-BS,BS-20Y,OG-Ticker,EUR-BS3M6M-20Y,MarketValue,BS3,EUR-FIXED-1Y-EURIBOR-3M-EURIBOR-6M,20Y,,,,</t>
  </si>
  <si>
    <t>EUR-EURIBOR3M-BS,BS-30Y,OG-Ticker,EUR-BS3M6M-30Y,MarketValue,BS3,EUR-FIXED-1Y-EURIBOR-3M-EURIBOR-6M,30Y,,,,</t>
  </si>
  <si>
    <t>EUR-EURIBOR6M-IRS,FIX-6M,OG-Ticker,EUR-FIX-EURIBOR6M,MarketValue,FIX,EUR-EURIBOR-6M,,,,,</t>
  </si>
  <si>
    <t>EUR-EURIBOR6M-IRS,FRA-6Mx12M,OG-Ticker,EUR-FRA-6Mx12M,MarketValue,FRA,EUR-EURIBOR-6M,6Mx12M,,,,</t>
  </si>
  <si>
    <t>EUR-EURIBOR6M-IRS,IRS-2Y,OG-Ticker,EUR-IRS6M-2Y,MarketValue,IRS,EUR-FIXED-1Y-EURIBOR-6M,2Y,,,,</t>
  </si>
  <si>
    <t>EUR-EURIBOR6M-IRS,IRS-3Y,OG-Ticker,EUR-IRS6M-3Y,MarketValue,IRS,EUR-FIXED-1Y-EURIBOR-6M,3Y,,,,</t>
  </si>
  <si>
    <t>EUR-EURIBOR6M-IRS,IRS-4Y,OG-Ticker,EUR-IRS6M-4Y,MarketValue,IRS,EUR-FIXED-1Y-EURIBOR-6M,4Y,,,,</t>
  </si>
  <si>
    <t>EUR-EURIBOR6M-IRS,IRS-5Y,OG-Ticker,EUR-IRS6M-5Y,MarketValue,IRS,EUR-FIXED-1Y-EURIBOR-6M,5Y,,,,</t>
  </si>
  <si>
    <t>EUR-EURIBOR6M-IRS,IRS-7Y,OG-Ticker,EUR-IRS6M-7Y,MarketValue,IRS,EUR-FIXED-1Y-EURIBOR-6M,7Y,,,,</t>
  </si>
  <si>
    <t>EUR-EURIBOR6M-IRS,IRS-10Y,OG-Ticker,EUR-IRS6M-10Y,MarketValue,IRS,EUR-FIXED-1Y-EURIBOR-6M,10Y,,,,</t>
  </si>
  <si>
    <t>EUR-EURIBOR6M-IRS,IRS-15Y,OG-Ticker,EUR-IRS6M-15Y,MarketValue,IRS,EUR-FIXED-1Y-EURIBOR-6M,15Y,,,,</t>
  </si>
  <si>
    <t>EUR-EURIBOR6M-IRS,IRS-20Y,OG-Ticker,EUR-IRS6M-20Y,MarketValue,IRS,EUR-FIXED-1Y-EURIBOR-6M,20Y,,,,</t>
  </si>
  <si>
    <t>EUR-EURIBOR6M-IRS,IRS-30Y,OG-Ticker,EUR-IRS6M-30Y,MarketValue,IRS,EUR-FIXED-1Y-EURIBOR-6M,30Y,,,,</t>
  </si>
  <si>
    <t>EUR SWAP (EONIA)  3Y</t>
  </si>
  <si>
    <t>EUR SWAP (EONIA)  4Y</t>
  </si>
  <si>
    <t>EUR SWAP (EONIA)  5Y</t>
  </si>
  <si>
    <t>EUR SWAP (EONIA)  7Y</t>
  </si>
  <si>
    <t>EUR SWAP (EONIA) 10Y</t>
  </si>
  <si>
    <t>EUR SWAP (EONIA) 15Y</t>
  </si>
  <si>
    <t>EUR SWAP (EONIA) 20Y</t>
  </si>
  <si>
    <t>EUR SWAP (EONIA) 30Y</t>
  </si>
  <si>
    <t>EUR FORWARD SWAP 3M3M</t>
  </si>
  <si>
    <t>23/11/2021</t>
  </si>
  <si>
    <t>23/11/2022</t>
  </si>
  <si>
    <t>23/11/2023</t>
  </si>
  <si>
    <t>23/11/2024</t>
  </si>
  <si>
    <t>23/11/2025</t>
  </si>
  <si>
    <t>23/11/2027</t>
  </si>
  <si>
    <t>23/11/2030</t>
  </si>
  <si>
    <t>23/11/2035</t>
  </si>
  <si>
    <t>23/11/2040</t>
  </si>
  <si>
    <t>23/11/2050</t>
  </si>
  <si>
    <t>EUR FORWARD SWAP 6M6M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</si>
</sst>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bb03cc8101f744ce8556f1a40077c661">
      <tp t="s">
        <v>Curve.0</v>
        <stp/>
        <stp>CURVE</stp>
        <tr r="M1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D6C-4AC5-40A8-9E47-0F5EC4ED6AFE}">
  <dimension ref="A1:Q217"/>
  <sheetViews>
    <sheetView topLeftCell="A70" workbookViewId="0">
      <selection activeCell="D129" sqref="D129"/>
    </sheetView>
  </sheetViews>
  <sheetFormatPr defaultRowHeight="15" x14ac:dyDescent="0.25"/>
  <cols>
    <col min="1" max="1" width="18.5703125" bestFit="1" customWidth="1"/>
    <col min="2" max="2" width="18.28515625" bestFit="1" customWidth="1"/>
    <col min="3" max="3" width="9.28515625" bestFit="1" customWidth="1"/>
    <col min="4" max="4" width="24.140625" bestFit="1" customWidth="1"/>
    <col min="5" max="6" width="10.5703125" bestFit="1" customWidth="1"/>
    <col min="10" max="10" width="18.5703125" bestFit="1" customWidth="1"/>
    <col min="13" max="13" width="29.28515625" bestFit="1" customWidth="1"/>
    <col min="14" max="15" width="10.5703125" bestFit="1" customWidth="1"/>
  </cols>
  <sheetData>
    <row r="1" spans="1:17" x14ac:dyDescent="0.25">
      <c r="A1" t="s">
        <v>282</v>
      </c>
      <c r="B1" s="2">
        <f ca="1">NOW()</f>
        <v>44155.428914004631</v>
      </c>
    </row>
    <row r="2" spans="1:17" x14ac:dyDescent="0.25">
      <c r="A2" t="s">
        <v>349</v>
      </c>
      <c r="B2" t="s">
        <v>147</v>
      </c>
    </row>
    <row r="3" spans="1:17" x14ac:dyDescent="0.25">
      <c r="A3" t="s">
        <v>350</v>
      </c>
      <c r="B3" t="s">
        <v>147</v>
      </c>
    </row>
    <row r="4" spans="1:17" x14ac:dyDescent="0.25">
      <c r="A4" t="s">
        <v>12</v>
      </c>
      <c r="B4" t="s">
        <v>147</v>
      </c>
    </row>
    <row r="5" spans="1:17" x14ac:dyDescent="0.25">
      <c r="A5" t="s">
        <v>13</v>
      </c>
      <c r="B5" t="s">
        <v>147</v>
      </c>
    </row>
    <row r="6" spans="1:17" x14ac:dyDescent="0.25">
      <c r="A6" t="s">
        <v>14</v>
      </c>
      <c r="B6" t="s">
        <v>147</v>
      </c>
    </row>
    <row r="7" spans="1:17" x14ac:dyDescent="0.25">
      <c r="A7" t="s">
        <v>15</v>
      </c>
      <c r="B7" t="s">
        <v>148</v>
      </c>
    </row>
    <row r="8" spans="1:17" x14ac:dyDescent="0.25">
      <c r="A8" t="s">
        <v>16</v>
      </c>
      <c r="B8" t="s">
        <v>148</v>
      </c>
    </row>
    <row r="9" spans="1:17" x14ac:dyDescent="0.25">
      <c r="A9" t="s">
        <v>17</v>
      </c>
      <c r="B9" t="s">
        <v>148</v>
      </c>
    </row>
    <row r="11" spans="1:17" x14ac:dyDescent="0.25">
      <c r="A11" s="3" t="s">
        <v>283</v>
      </c>
      <c r="J11" s="3" t="s">
        <v>285</v>
      </c>
    </row>
    <row r="13" spans="1:17" x14ac:dyDescent="0.25">
      <c r="A13" t="s">
        <v>90</v>
      </c>
      <c r="B13" t="s">
        <v>31</v>
      </c>
      <c r="C13" t="s">
        <v>2</v>
      </c>
      <c r="E13" t="s">
        <v>26</v>
      </c>
      <c r="F13" t="s">
        <v>27</v>
      </c>
      <c r="G13" t="s">
        <v>28</v>
      </c>
      <c r="H13" t="s">
        <v>284</v>
      </c>
      <c r="J13" t="s">
        <v>90</v>
      </c>
      <c r="K13" t="s">
        <v>31</v>
      </c>
      <c r="L13" t="s">
        <v>2</v>
      </c>
      <c r="N13" t="s">
        <v>26</v>
      </c>
      <c r="O13" t="s">
        <v>27</v>
      </c>
      <c r="P13" t="s">
        <v>28</v>
      </c>
      <c r="Q13" t="s">
        <v>284</v>
      </c>
    </row>
    <row r="14" spans="1:17" x14ac:dyDescent="0.25">
      <c r="A14" t="s">
        <v>91</v>
      </c>
      <c r="B14" t="s">
        <v>32</v>
      </c>
      <c r="C14" t="s">
        <v>35</v>
      </c>
      <c r="D14" t="e" cm="1">
        <f t="array" ref="D14" ca="1">_xll.BDP(C14&amp;" ICPL Curncy","NAME_RT")</f>
        <v>#NAME?</v>
      </c>
      <c r="E14" t="s">
        <v>30</v>
      </c>
      <c r="F14" t="s">
        <v>4</v>
      </c>
      <c r="G14" t="e" cm="1">
        <f t="array" ref="G14" ca="1">_xll.BDP(C14&amp;" ICPL Curncy","PX_LAST")</f>
        <v>#NAME?</v>
      </c>
      <c r="J14" t="s">
        <v>298</v>
      </c>
      <c r="K14" t="s">
        <v>32</v>
      </c>
      <c r="L14" t="s">
        <v>286</v>
      </c>
      <c r="M14" t="e" cm="1">
        <f t="array" ref="M14" ca="1">_xll.BDP(L14&amp;" Curncy","NAME_RT")</f>
        <v>#NAME?</v>
      </c>
      <c r="N14" t="e" cm="1">
        <f t="array" ref="N14" ca="1">_xll.BDP(L14&amp;" Comdty","INT_RATE_FUT_START_DT")</f>
        <v>#NAME?</v>
      </c>
      <c r="O14" t="e" cm="1">
        <f t="array" ref="O14" ca="1">_xll.BDP(L14&amp;" Comdty","INT_RATE_FUT_END_DT")</f>
        <v>#NAME?</v>
      </c>
      <c r="P14" t="e" cm="1">
        <f t="array" ref="P14" ca="1">_xll.BDP(L14&amp;" Comdty","PX_LAST")</f>
        <v>#NAME?</v>
      </c>
    </row>
    <row r="15" spans="1:17" x14ac:dyDescent="0.25">
      <c r="B15" t="s">
        <v>32</v>
      </c>
      <c r="C15" t="s">
        <v>36</v>
      </c>
      <c r="D15" t="e" cm="1">
        <f t="array" ref="D15" ca="1">_xll.BDP(C15&amp;" ICPL Curncy","NAME_RT")</f>
        <v>#NAME?</v>
      </c>
      <c r="E15" t="s">
        <v>30</v>
      </c>
      <c r="F15" t="s">
        <v>5</v>
      </c>
      <c r="G15" t="e" cm="1">
        <f t="array" ref="G15" ca="1">_xll.BDP(C15&amp;" ICPL Curncy","PX_LAST")</f>
        <v>#NAME?</v>
      </c>
      <c r="K15" t="s">
        <v>32</v>
      </c>
      <c r="L15" t="s">
        <v>287</v>
      </c>
      <c r="M15" t="e" cm="1">
        <f t="array" ref="M15" ca="1">_xll.BDP(L15&amp;" Curncy","NAME_RT")</f>
        <v>#NAME?</v>
      </c>
      <c r="N15" t="e" cm="1">
        <f t="array" ref="N15" ca="1">_xll.BDP(L15&amp;" Comdty","INT_RATE_FUT_START_DT")</f>
        <v>#NAME?</v>
      </c>
      <c r="O15" t="e" cm="1">
        <f t="array" ref="O15" ca="1">_xll.BDP(L15&amp;" Comdty","INT_RATE_FUT_END_DT")</f>
        <v>#NAME?</v>
      </c>
      <c r="P15" t="e" cm="1">
        <f t="array" ref="P15" ca="1">_xll.BDP(L15&amp;" Comdty","PX_LAST")</f>
        <v>#NAME?</v>
      </c>
    </row>
    <row r="16" spans="1:17" x14ac:dyDescent="0.25">
      <c r="B16" t="s">
        <v>32</v>
      </c>
      <c r="C16" t="s">
        <v>37</v>
      </c>
      <c r="D16" t="e" cm="1">
        <f t="array" ref="D16" ca="1">_xll.BDP(C16&amp;" ICPL Curncy","NAME_RT")</f>
        <v>#NAME?</v>
      </c>
      <c r="E16" t="s">
        <v>30</v>
      </c>
      <c r="F16" t="s">
        <v>6</v>
      </c>
      <c r="G16" t="e" cm="1">
        <f t="array" ref="G16" ca="1">_xll.BDP(C16&amp;" ICPL Curncy","PX_LAST")</f>
        <v>#NAME?</v>
      </c>
      <c r="K16" t="s">
        <v>32</v>
      </c>
      <c r="L16" t="s">
        <v>288</v>
      </c>
      <c r="M16" t="e" cm="1">
        <f t="array" ref="M16" ca="1">_xll.BDP(L16&amp;" Curncy","NAME_RT")</f>
        <v>#NAME?</v>
      </c>
      <c r="N16" t="e" cm="1">
        <f t="array" ref="N16" ca="1">_xll.BDP(L16&amp;" Comdty","INT_RATE_FUT_START_DT")</f>
        <v>#NAME?</v>
      </c>
      <c r="O16" t="e" cm="1">
        <f t="array" ref="O16" ca="1">_xll.BDP(L16&amp;" Comdty","INT_RATE_FUT_END_DT")</f>
        <v>#NAME?</v>
      </c>
      <c r="P16" t="e" cm="1">
        <f t="array" ref="P16" ca="1">_xll.BDP(L16&amp;" Comdty","PX_LAST")</f>
        <v>#NAME?</v>
      </c>
    </row>
    <row r="17" spans="1:16" x14ac:dyDescent="0.25">
      <c r="B17" t="s">
        <v>32</v>
      </c>
      <c r="C17" t="s">
        <v>29</v>
      </c>
      <c r="D17" t="e" cm="1">
        <f t="array" ref="D17" ca="1">_xll.BDP(C17&amp;" ICPL Curncy","NAME_RT")</f>
        <v>#NAME?</v>
      </c>
      <c r="E17" t="s">
        <v>30</v>
      </c>
      <c r="F17" t="s">
        <v>1</v>
      </c>
      <c r="G17" t="e" cm="1">
        <f t="array" ref="G17" ca="1">_xll.BDP(C17&amp;" ICPL Curncy","PX_LAST")</f>
        <v>#NAME?</v>
      </c>
      <c r="K17" t="s">
        <v>32</v>
      </c>
      <c r="L17" t="s">
        <v>289</v>
      </c>
      <c r="M17" t="e" cm="1">
        <f t="array" ref="M17" ca="1">_xll.BDP(L17&amp;" Curncy","NAME_RT")</f>
        <v>#NAME?</v>
      </c>
      <c r="N17" t="e" cm="1">
        <f t="array" ref="N17" ca="1">_xll.BDP(L17&amp;" Comdty","INT_RATE_FUT_START_DT")</f>
        <v>#NAME?</v>
      </c>
      <c r="O17" t="e" cm="1">
        <f t="array" ref="O17" ca="1">_xll.BDP(L17&amp;" Comdty","INT_RATE_FUT_END_DT")</f>
        <v>#NAME?</v>
      </c>
      <c r="P17" t="e" cm="1">
        <f t="array" ref="P17" ca="1">_xll.BDP(L17&amp;" Comdty","PX_LAST")</f>
        <v>#NAME?</v>
      </c>
    </row>
    <row r="18" spans="1:16" x14ac:dyDescent="0.25">
      <c r="B18" t="s">
        <v>32</v>
      </c>
      <c r="C18" t="s">
        <v>33</v>
      </c>
      <c r="D18" t="e" cm="1">
        <f t="array" ref="D18" ca="1">_xll.BDP(C18&amp;" ICPL Curncy","NAME_RT")</f>
        <v>#NAME?</v>
      </c>
      <c r="E18" t="s">
        <v>30</v>
      </c>
      <c r="F18" t="s">
        <v>7</v>
      </c>
      <c r="G18" t="e" cm="1">
        <f t="array" ref="G18" ca="1">_xll.BDP(C18&amp;" ICPL Curncy","PX_LAST")</f>
        <v>#NAME?</v>
      </c>
      <c r="K18" t="s">
        <v>32</v>
      </c>
      <c r="L18" t="s">
        <v>290</v>
      </c>
      <c r="M18" t="e" cm="1">
        <f t="array" ref="M18" ca="1">_xll.BDP(L18&amp;" Curncy","NAME_RT")</f>
        <v>#NAME?</v>
      </c>
      <c r="N18" t="e" cm="1">
        <f t="array" ref="N18" ca="1">_xll.BDP(L18&amp;" Comdty","INT_RATE_FUT_START_DT")</f>
        <v>#NAME?</v>
      </c>
      <c r="O18" t="e" cm="1">
        <f t="array" ref="O18" ca="1">_xll.BDP(L18&amp;" Comdty","INT_RATE_FUT_END_DT")</f>
        <v>#NAME?</v>
      </c>
      <c r="P18" t="e" cm="1">
        <f t="array" ref="P18" ca="1">_xll.BDP(L18&amp;" Comdty","PX_LAST")</f>
        <v>#NAME?</v>
      </c>
    </row>
    <row r="19" spans="1:16" x14ac:dyDescent="0.25">
      <c r="B19" t="s">
        <v>32</v>
      </c>
      <c r="C19" t="s">
        <v>34</v>
      </c>
      <c r="D19" t="e" cm="1">
        <f t="array" ref="D19" ca="1">_xll.BDP(C19&amp;" ICPL Curncy","NAME_RT")</f>
        <v>#NAME?</v>
      </c>
      <c r="E19" t="s">
        <v>30</v>
      </c>
      <c r="F19" t="s">
        <v>8</v>
      </c>
      <c r="G19" t="e" cm="1">
        <f t="array" ref="G19" ca="1">_xll.BDP(C19&amp;" ICPL Curncy","PX_LAST")</f>
        <v>#NAME?</v>
      </c>
      <c r="K19" t="s">
        <v>32</v>
      </c>
      <c r="L19" t="s">
        <v>291</v>
      </c>
      <c r="M19" t="e" cm="1">
        <f t="array" ref="M19" ca="1">_xll.BDP(L19&amp;" Curncy","NAME_RT")</f>
        <v>#NAME?</v>
      </c>
      <c r="N19" t="e" cm="1">
        <f t="array" ref="N19" ca="1">_xll.BDP(L19&amp;" Comdty","INT_RATE_FUT_START_DT")</f>
        <v>#NAME?</v>
      </c>
      <c r="O19" t="e" cm="1">
        <f t="array" ref="O19" ca="1">_xll.BDP(L19&amp;" Comdty","INT_RATE_FUT_END_DT")</f>
        <v>#NAME?</v>
      </c>
      <c r="P19" t="e" cm="1">
        <f t="array" ref="P19" ca="1">_xll.BDP(L19&amp;" Comdty","PX_LAST")</f>
        <v>#NAME?</v>
      </c>
    </row>
    <row r="20" spans="1:16" x14ac:dyDescent="0.25">
      <c r="B20" t="s">
        <v>32</v>
      </c>
      <c r="C20" t="s">
        <v>38</v>
      </c>
      <c r="D20" t="e" cm="1">
        <f t="array" ref="D20" ca="1">_xll.BDP(C20&amp;" ICPL Curncy","NAME_RT")</f>
        <v>#NAME?</v>
      </c>
      <c r="E20" t="s">
        <v>30</v>
      </c>
      <c r="F20" t="s">
        <v>9</v>
      </c>
      <c r="G20" t="e" cm="1">
        <f t="array" ref="G20" ca="1">_xll.BDP(C20&amp;" ICPL Curncy","PX_LAST")</f>
        <v>#NAME?</v>
      </c>
      <c r="K20" t="s">
        <v>32</v>
      </c>
      <c r="L20" t="s">
        <v>292</v>
      </c>
      <c r="M20" t="e" cm="1">
        <f t="array" ref="M20" ca="1">_xll.BDP(L20&amp;" Curncy","NAME_RT")</f>
        <v>#NAME?</v>
      </c>
      <c r="N20" t="e" cm="1">
        <f t="array" ref="N20" ca="1">_xll.BDP(L20&amp;" Comdty","INT_RATE_FUT_START_DT")</f>
        <v>#NAME?</v>
      </c>
      <c r="O20" t="e" cm="1">
        <f t="array" ref="O20" ca="1">_xll.BDP(L20&amp;" Comdty","INT_RATE_FUT_END_DT")</f>
        <v>#NAME?</v>
      </c>
      <c r="P20" t="e" cm="1">
        <f t="array" ref="P20" ca="1">_xll.BDP(L20&amp;" Comdty","PX_LAST")</f>
        <v>#NAME?</v>
      </c>
    </row>
    <row r="21" spans="1:16" x14ac:dyDescent="0.25">
      <c r="B21" t="s">
        <v>32</v>
      </c>
      <c r="C21" t="s">
        <v>39</v>
      </c>
      <c r="D21" t="e" cm="1">
        <f t="array" ref="D21" ca="1">_xll.BDP(C21&amp;" ICPL Curncy","NAME_RT")</f>
        <v>#NAME?</v>
      </c>
      <c r="E21" t="s">
        <v>30</v>
      </c>
      <c r="F21" t="s">
        <v>10</v>
      </c>
      <c r="G21" t="e" cm="1">
        <f t="array" ref="G21" ca="1">_xll.BDP(C21&amp;" ICPL Curncy","PX_LAST")</f>
        <v>#NAME?</v>
      </c>
      <c r="K21" t="s">
        <v>32</v>
      </c>
      <c r="L21" t="s">
        <v>293</v>
      </c>
      <c r="M21" t="e" cm="1">
        <f t="array" ref="M21" ca="1">_xll.BDP(L21&amp;" Curncy","NAME_RT")</f>
        <v>#NAME?</v>
      </c>
      <c r="N21" t="e" cm="1">
        <f t="array" ref="N21" ca="1">_xll.BDP(L21&amp;" Comdty","INT_RATE_FUT_START_DT")</f>
        <v>#NAME?</v>
      </c>
      <c r="O21" t="e" cm="1">
        <f t="array" ref="O21" ca="1">_xll.BDP(L21&amp;" Comdty","INT_RATE_FUT_END_DT")</f>
        <v>#NAME?</v>
      </c>
      <c r="P21" t="e" cm="1">
        <f t="array" ref="P21" ca="1">_xll.BDP(L21&amp;" Comdty","PX_LAST")</f>
        <v>#NAME?</v>
      </c>
    </row>
    <row r="22" spans="1:16" x14ac:dyDescent="0.25">
      <c r="B22" t="s">
        <v>32</v>
      </c>
      <c r="C22" t="s">
        <v>40</v>
      </c>
      <c r="D22" t="e" cm="1">
        <f t="array" ref="D22" ca="1">_xll.BDP(C22&amp;" ICPL Curncy","NAME_RT")</f>
        <v>#NAME?</v>
      </c>
      <c r="E22" t="s">
        <v>30</v>
      </c>
      <c r="F22" t="s">
        <v>11</v>
      </c>
      <c r="G22" t="e" cm="1">
        <f t="array" ref="G22" ca="1">_xll.BDP(C22&amp;" ICPL Curncy","PX_LAST")</f>
        <v>#NAME?</v>
      </c>
      <c r="K22" t="s">
        <v>32</v>
      </c>
      <c r="L22" t="s">
        <v>294</v>
      </c>
      <c r="M22" t="e" cm="1">
        <f t="array" ref="M22" ca="1">_xll.BDP(L22&amp;" Curncy","NAME_RT")</f>
        <v>#NAME?</v>
      </c>
      <c r="N22" t="e" cm="1">
        <f t="array" ref="N22" ca="1">_xll.BDP(L22&amp;" Comdty","INT_RATE_FUT_START_DT")</f>
        <v>#NAME?</v>
      </c>
      <c r="O22" t="e" cm="1">
        <f t="array" ref="O22" ca="1">_xll.BDP(L22&amp;" Comdty","INT_RATE_FUT_END_DT")</f>
        <v>#NAME?</v>
      </c>
      <c r="P22" t="e" cm="1">
        <f t="array" ref="P22" ca="1">_xll.BDP(L22&amp;" Comdty","PX_LAST")</f>
        <v>#NAME?</v>
      </c>
    </row>
    <row r="23" spans="1:16" x14ac:dyDescent="0.25">
      <c r="B23" t="s">
        <v>32</v>
      </c>
      <c r="C23" t="s">
        <v>41</v>
      </c>
      <c r="D23" t="e" cm="1">
        <f t="array" ref="D23" ca="1">_xll.BDP(C23&amp;" ICPL Curncy","NAME_RT")</f>
        <v>#NAME?</v>
      </c>
      <c r="E23" t="s">
        <v>30</v>
      </c>
      <c r="F23" t="s">
        <v>44</v>
      </c>
      <c r="G23" t="e" cm="1">
        <f t="array" ref="G23" ca="1">_xll.BDP(C23&amp;" ICPL Curncy","PX_LAST")</f>
        <v>#NAME?</v>
      </c>
      <c r="K23" t="s">
        <v>32</v>
      </c>
      <c r="L23" t="s">
        <v>295</v>
      </c>
      <c r="M23" t="e" cm="1">
        <f t="array" ref="M23" ca="1">_xll.BDP(L23&amp;" Curncy","NAME_RT")</f>
        <v>#NAME?</v>
      </c>
      <c r="N23" t="e" cm="1">
        <f t="array" ref="N23" ca="1">_xll.BDP(L23&amp;" Comdty","INT_RATE_FUT_START_DT")</f>
        <v>#NAME?</v>
      </c>
      <c r="O23" t="e" cm="1">
        <f t="array" ref="O23" ca="1">_xll.BDP(L23&amp;" Comdty","INT_RATE_FUT_END_DT")</f>
        <v>#NAME?</v>
      </c>
      <c r="P23" t="e" cm="1">
        <f t="array" ref="P23" ca="1">_xll.BDP(L23&amp;" Comdty","PX_LAST")</f>
        <v>#NAME?</v>
      </c>
    </row>
    <row r="24" spans="1:16" x14ac:dyDescent="0.25">
      <c r="B24" t="s">
        <v>32</v>
      </c>
      <c r="C24" t="s">
        <v>43</v>
      </c>
      <c r="D24" t="e" cm="1">
        <f t="array" ref="D24" ca="1">_xll.BDP(C24&amp;" ICPL Curncy","NAME_RT")</f>
        <v>#NAME?</v>
      </c>
      <c r="E24" t="s">
        <v>30</v>
      </c>
      <c r="F24" t="s">
        <v>45</v>
      </c>
      <c r="G24" t="e" cm="1">
        <f t="array" ref="G24" ca="1">_xll.BDP(C24&amp;" ICPL Curncy","PX_LAST")</f>
        <v>#NAME?</v>
      </c>
      <c r="K24" t="s">
        <v>32</v>
      </c>
      <c r="L24" t="s">
        <v>296</v>
      </c>
      <c r="M24" t="e" cm="1">
        <f t="array" ref="M24" ca="1">_xll.BDP(L24&amp;" Curncy","NAME_RT")</f>
        <v>#NAME?</v>
      </c>
      <c r="N24" t="e" cm="1">
        <f t="array" ref="N24" ca="1">_xll.BDP(L24&amp;" Comdty","INT_RATE_FUT_START_DT")</f>
        <v>#NAME?</v>
      </c>
      <c r="O24" t="e" cm="1">
        <f t="array" ref="O24" ca="1">_xll.BDP(L24&amp;" Comdty","INT_RATE_FUT_END_DT")</f>
        <v>#NAME?</v>
      </c>
      <c r="P24" t="e" cm="1">
        <f t="array" ref="P24" ca="1">_xll.BDP(L24&amp;" Comdty","PX_LAST")</f>
        <v>#NAME?</v>
      </c>
    </row>
    <row r="25" spans="1:16" x14ac:dyDescent="0.25">
      <c r="B25" t="s">
        <v>32</v>
      </c>
      <c r="C25" t="s">
        <v>42</v>
      </c>
      <c r="D25" t="e" cm="1">
        <f t="array" ref="D25" ca="1">_xll.BDP(C25&amp;" ICPL Curncy","NAME_RT")</f>
        <v>#NAME?</v>
      </c>
      <c r="E25" t="s">
        <v>30</v>
      </c>
      <c r="F25" t="s">
        <v>46</v>
      </c>
      <c r="G25" t="e" cm="1">
        <f t="array" ref="G25" ca="1">_xll.BDP(C25&amp;" ICPL Curncy","PX_LAST")</f>
        <v>#NAME?</v>
      </c>
      <c r="K25" t="s">
        <v>32</v>
      </c>
      <c r="L25" t="s">
        <v>297</v>
      </c>
      <c r="M25" t="e" cm="1">
        <f t="array" ref="M25" ca="1">_xll.BDP(L25&amp;" Curncy","NAME_RT")</f>
        <v>#NAME?</v>
      </c>
      <c r="N25" t="e" cm="1">
        <f t="array" ref="N25" ca="1">_xll.BDP(L25&amp;" Comdty","INT_RATE_FUT_START_DT")</f>
        <v>#NAME?</v>
      </c>
      <c r="O25" t="e" cm="1">
        <f t="array" ref="O25" ca="1">_xll.BDP(L25&amp;" Comdty","INT_RATE_FUT_END_DT")</f>
        <v>#NAME?</v>
      </c>
      <c r="P25" t="e" cm="1">
        <f t="array" ref="P25" ca="1">_xll.BDP(L25&amp;" Comdty","PX_LAST")</f>
        <v>#NAME?</v>
      </c>
    </row>
    <row r="26" spans="1:16" x14ac:dyDescent="0.25">
      <c r="K26" t="s">
        <v>32</v>
      </c>
      <c r="L26" t="s">
        <v>345</v>
      </c>
      <c r="M26" t="e" cm="1">
        <f t="array" ref="M26" ca="1">_xll.BDP(L26&amp;" Curncy","NAME_RT")</f>
        <v>#NAME?</v>
      </c>
      <c r="N26" t="e" cm="1">
        <f t="array" ref="N26" ca="1">_xll.BDP(L26&amp;" Comdty","INT_RATE_FUT_START_DT")</f>
        <v>#NAME?</v>
      </c>
      <c r="O26" t="e" cm="1">
        <f t="array" ref="O26" ca="1">_xll.BDP(L26&amp;" Comdty","INT_RATE_FUT_END_DT")</f>
        <v>#NAME?</v>
      </c>
      <c r="P26" t="e" cm="1">
        <f t="array" ref="P26" ca="1">_xll.BDP(L26&amp;" Comdty","PX_LAST")</f>
        <v>#NAME?</v>
      </c>
    </row>
    <row r="27" spans="1:16" x14ac:dyDescent="0.25">
      <c r="K27" t="s">
        <v>32</v>
      </c>
      <c r="L27" t="s">
        <v>346</v>
      </c>
      <c r="M27" t="e" cm="1">
        <f t="array" ref="M27" ca="1">_xll.BDP(L27&amp;" Curncy","NAME_RT")</f>
        <v>#NAME?</v>
      </c>
      <c r="N27" t="e" cm="1">
        <f t="array" ref="N27" ca="1">_xll.BDP(L27&amp;" Comdty","INT_RATE_FUT_START_DT")</f>
        <v>#NAME?</v>
      </c>
      <c r="O27" t="e" cm="1">
        <f t="array" ref="O27" ca="1">_xll.BDP(L27&amp;" Comdty","INT_RATE_FUT_END_DT")</f>
        <v>#NAME?</v>
      </c>
      <c r="P27" t="e" cm="1">
        <f t="array" ref="P27" ca="1">_xll.BDP(L27&amp;" Comdty","PX_LAST")</f>
        <v>#NAME?</v>
      </c>
    </row>
    <row r="28" spans="1:16" x14ac:dyDescent="0.25">
      <c r="K28" t="s">
        <v>32</v>
      </c>
      <c r="L28" t="s">
        <v>347</v>
      </c>
      <c r="M28" t="e" cm="1">
        <f t="array" ref="M28" ca="1">_xll.BDP(L28&amp;" Curncy","NAME_RT")</f>
        <v>#NAME?</v>
      </c>
      <c r="N28" t="e" cm="1">
        <f t="array" ref="N28" ca="1">_xll.BDP(L28&amp;" Comdty","INT_RATE_FUT_START_DT")</f>
        <v>#NAME?</v>
      </c>
      <c r="O28" t="e" cm="1">
        <f t="array" ref="O28" ca="1">_xll.BDP(L28&amp;" Comdty","INT_RATE_FUT_END_DT")</f>
        <v>#NAME?</v>
      </c>
      <c r="P28" t="e" cm="1">
        <f t="array" ref="P28" ca="1">_xll.BDP(L28&amp;" Comdty","PX_LAST")</f>
        <v>#NAME?</v>
      </c>
    </row>
    <row r="29" spans="1:16" x14ac:dyDescent="0.25">
      <c r="K29" t="s">
        <v>32</v>
      </c>
      <c r="L29" t="s">
        <v>348</v>
      </c>
      <c r="M29" t="e" cm="1">
        <f t="array" ref="M29" ca="1">_xll.BDP(L29&amp;" Curncy","NAME_RT")</f>
        <v>#NAME?</v>
      </c>
      <c r="N29" t="e" cm="1">
        <f t="array" ref="N29" ca="1">_xll.BDP(L29&amp;" Comdty","INT_RATE_FUT_START_DT")</f>
        <v>#NAME?</v>
      </c>
      <c r="O29" t="e" cm="1">
        <f t="array" ref="O29" ca="1">_xll.BDP(L29&amp;" Comdty","INT_RATE_FUT_END_DT")</f>
        <v>#NAME?</v>
      </c>
      <c r="P29" t="e" cm="1">
        <f t="array" ref="P29" ca="1">_xll.BDP(L29&amp;" Comdty","PX_LAST")</f>
        <v>#NAME?</v>
      </c>
    </row>
    <row r="31" spans="1:16" x14ac:dyDescent="0.25">
      <c r="A31" t="s">
        <v>95</v>
      </c>
      <c r="B31" t="s">
        <v>326</v>
      </c>
      <c r="C31" t="s">
        <v>328</v>
      </c>
      <c r="D31" t="e" cm="1">
        <f t="array" ref="D31" ca="1">_xll.BDP(C31&amp;" ICPL Curncy","NAME_RT")</f>
        <v>#NAME?</v>
      </c>
      <c r="E31" t="s">
        <v>30</v>
      </c>
      <c r="F31" t="e" cm="1">
        <f t="array" ref="F31" ca="1">_xll.BDP(C31&amp;" Comdty","Maturity_RT")</f>
        <v>#NAME?</v>
      </c>
      <c r="G31" t="e" cm="1">
        <f t="array" ref="G31" ca="1">_xll.BDP(C31&amp;" Comdty","PX_LAST")</f>
        <v>#NAME?</v>
      </c>
      <c r="J31" t="s">
        <v>95</v>
      </c>
      <c r="K31" t="s">
        <v>324</v>
      </c>
      <c r="L31" t="s">
        <v>351</v>
      </c>
      <c r="M31" t="e" cm="1">
        <f t="array" ref="M31" ca="1">_xll.BDP(L31&amp;" ICPL Curncy","NAME_RT")</f>
        <v>#NAME?</v>
      </c>
      <c r="N31" t="s">
        <v>30</v>
      </c>
      <c r="O31" t="e" cm="1">
        <f t="array" ref="O31" ca="1">_xll.BDP(L31&amp;" Comdty","Maturity_RT")</f>
        <v>#NAME?</v>
      </c>
      <c r="P31" t="e" cm="1">
        <f t="array" ref="P31" ca="1">_xll.BDP(L31&amp;" Comdty","PX_LAST")</f>
        <v>#NAME?</v>
      </c>
    </row>
    <row r="32" spans="1:16" x14ac:dyDescent="0.25">
      <c r="B32" t="s">
        <v>326</v>
      </c>
      <c r="C32" t="s">
        <v>329</v>
      </c>
      <c r="D32" t="e" cm="1">
        <f t="array" ref="D32" ca="1">_xll.BDP(C32&amp;" ICPL Curncy","NAME_RT")</f>
        <v>#NAME?</v>
      </c>
      <c r="E32" t="s">
        <v>30</v>
      </c>
      <c r="F32" t="e" cm="1">
        <f t="array" ref="F32" ca="1">_xll.BDP(C32&amp;" Comdty","Maturity_RT")</f>
        <v>#NAME?</v>
      </c>
      <c r="G32" t="e" cm="1">
        <f t="array" ref="G32" ca="1">_xll.BDP(C32&amp;" Comdty","PX_LAST")</f>
        <v>#NAME?</v>
      </c>
      <c r="K32" t="s">
        <v>324</v>
      </c>
      <c r="L32" t="s">
        <v>352</v>
      </c>
      <c r="M32" t="e" cm="1">
        <f t="array" ref="M32" ca="1">_xll.BDP(L32&amp;" ICPL Curncy","NAME_RT")</f>
        <v>#NAME?</v>
      </c>
      <c r="N32" t="s">
        <v>30</v>
      </c>
      <c r="O32" t="e" cm="1">
        <f t="array" ref="O32" ca="1">_xll.BDP(L32&amp;" Comdty","Maturity_RT")</f>
        <v>#NAME?</v>
      </c>
      <c r="P32" t="e" cm="1">
        <f t="array" ref="P32" ca="1">_xll.BDP(L32&amp;" Comdty","PX_LAST")</f>
        <v>#NAME?</v>
      </c>
    </row>
    <row r="33" spans="2:16" x14ac:dyDescent="0.25">
      <c r="B33" t="s">
        <v>326</v>
      </c>
      <c r="C33" t="s">
        <v>330</v>
      </c>
      <c r="D33" t="e" cm="1">
        <f t="array" ref="D33" ca="1">_xll.BDP(C33&amp;" ICPL Curncy","NAME_RT")</f>
        <v>#NAME?</v>
      </c>
      <c r="E33" t="s">
        <v>30</v>
      </c>
      <c r="F33" t="e" cm="1">
        <f t="array" ref="F33" ca="1">_xll.BDP(C33&amp;" Comdty","Maturity_RT")</f>
        <v>#NAME?</v>
      </c>
      <c r="G33" t="e" cm="1">
        <f t="array" ref="G33" ca="1">_xll.BDP(C33&amp;" Comdty","PX_LAST")</f>
        <v>#NAME?</v>
      </c>
      <c r="K33" t="s">
        <v>324</v>
      </c>
      <c r="L33" t="s">
        <v>353</v>
      </c>
      <c r="M33" t="e" cm="1">
        <f t="array" ref="M33" ca="1">_xll.BDP(L33&amp;" ICPL Curncy","NAME_RT")</f>
        <v>#NAME?</v>
      </c>
      <c r="N33" t="s">
        <v>30</v>
      </c>
      <c r="O33" t="e" cm="1">
        <f t="array" ref="O33" ca="1">_xll.BDP(L33&amp;" Comdty","Maturity_RT")</f>
        <v>#NAME?</v>
      </c>
      <c r="P33" t="e" cm="1">
        <f t="array" ref="P33" ca="1">_xll.BDP(L33&amp;" Comdty","PX_LAST")</f>
        <v>#NAME?</v>
      </c>
    </row>
    <row r="34" spans="2:16" x14ac:dyDescent="0.25">
      <c r="B34" t="s">
        <v>326</v>
      </c>
      <c r="C34" t="s">
        <v>331</v>
      </c>
      <c r="D34" t="e" cm="1">
        <f t="array" ref="D34" ca="1">_xll.BDP(C34&amp;" ICPL Curncy","NAME_RT")</f>
        <v>#NAME?</v>
      </c>
      <c r="E34" t="s">
        <v>30</v>
      </c>
      <c r="F34" t="e" cm="1">
        <f t="array" ref="F34" ca="1">_xll.BDP(C34&amp;" Comdty","Maturity_RT")</f>
        <v>#NAME?</v>
      </c>
      <c r="G34" t="e" cm="1">
        <f t="array" ref="G34" ca="1">_xll.BDP(C34&amp;" Comdty","PX_LAST")</f>
        <v>#NAME?</v>
      </c>
      <c r="K34" t="s">
        <v>324</v>
      </c>
      <c r="L34" t="s">
        <v>354</v>
      </c>
      <c r="M34" t="e" cm="1">
        <f t="array" ref="M34" ca="1">_xll.BDP(L34&amp;" ICPL Curncy","NAME_RT")</f>
        <v>#NAME?</v>
      </c>
      <c r="N34" t="s">
        <v>30</v>
      </c>
      <c r="O34" t="e" cm="1">
        <f t="array" ref="O34" ca="1">_xll.BDP(L34&amp;" Comdty","Maturity_RT")</f>
        <v>#NAME?</v>
      </c>
      <c r="P34" t="e" cm="1">
        <f t="array" ref="P34" ca="1">_xll.BDP(L34&amp;" Comdty","PX_LAST")</f>
        <v>#NAME?</v>
      </c>
    </row>
    <row r="35" spans="2:16" x14ac:dyDescent="0.25">
      <c r="B35" t="s">
        <v>326</v>
      </c>
      <c r="C35" t="s">
        <v>332</v>
      </c>
      <c r="D35" t="e" cm="1">
        <f t="array" ref="D35" ca="1">_xll.BDP(C35&amp;" ICPL Curncy","NAME_RT")</f>
        <v>#NAME?</v>
      </c>
      <c r="E35" t="s">
        <v>30</v>
      </c>
      <c r="F35" t="e" cm="1">
        <f t="array" ref="F35" ca="1">_xll.BDP(C35&amp;" Comdty","Maturity_RT")</f>
        <v>#NAME?</v>
      </c>
      <c r="G35" t="e" cm="1">
        <f t="array" ref="G35" ca="1">_xll.BDP(C35&amp;" Comdty","PX_LAST")</f>
        <v>#NAME?</v>
      </c>
      <c r="K35" t="s">
        <v>324</v>
      </c>
      <c r="L35" t="s">
        <v>355</v>
      </c>
      <c r="M35" t="e" cm="1">
        <f t="array" ref="M35" ca="1">_xll.BDP(L35&amp;" ICPL Curncy","NAME_RT")</f>
        <v>#NAME?</v>
      </c>
      <c r="N35" t="s">
        <v>30</v>
      </c>
      <c r="O35" t="e" cm="1">
        <f t="array" ref="O35" ca="1">_xll.BDP(L35&amp;" Comdty","Maturity_RT")</f>
        <v>#NAME?</v>
      </c>
      <c r="P35" t="e" cm="1">
        <f t="array" ref="P35" ca="1">_xll.BDP(L35&amp;" Comdty","PX_LAST")</f>
        <v>#NAME?</v>
      </c>
    </row>
    <row r="36" spans="2:16" x14ac:dyDescent="0.25">
      <c r="B36" t="s">
        <v>326</v>
      </c>
      <c r="C36" t="s">
        <v>333</v>
      </c>
      <c r="D36" t="e" cm="1">
        <f t="array" ref="D36" ca="1">_xll.BDP(C36&amp;" ICPL Curncy","NAME_RT")</f>
        <v>#NAME?</v>
      </c>
      <c r="E36" t="s">
        <v>30</v>
      </c>
      <c r="F36" t="e" cm="1">
        <f t="array" ref="F36" ca="1">_xll.BDP(C36&amp;" Comdty","Maturity_RT")</f>
        <v>#NAME?</v>
      </c>
      <c r="G36" t="e" cm="1">
        <f t="array" ref="G36" ca="1">_xll.BDP(C36&amp;" Comdty","PX_LAST")</f>
        <v>#NAME?</v>
      </c>
      <c r="K36" t="s">
        <v>324</v>
      </c>
      <c r="L36" t="s">
        <v>356</v>
      </c>
      <c r="M36" t="e" cm="1">
        <f t="array" ref="M36" ca="1">_xll.BDP(L36&amp;" ICPL Curncy","NAME_RT")</f>
        <v>#NAME?</v>
      </c>
      <c r="N36" t="s">
        <v>30</v>
      </c>
      <c r="O36" t="e" cm="1">
        <f t="array" ref="O36" ca="1">_xll.BDP(L36&amp;" Comdty","Maturity_RT")</f>
        <v>#NAME?</v>
      </c>
      <c r="P36" t="e" cm="1">
        <f t="array" ref="P36" ca="1">_xll.BDP(L36&amp;" Comdty","PX_LAST")</f>
        <v>#NAME?</v>
      </c>
    </row>
    <row r="37" spans="2:16" x14ac:dyDescent="0.25">
      <c r="B37" t="s">
        <v>326</v>
      </c>
      <c r="C37" t="s">
        <v>334</v>
      </c>
      <c r="D37" t="e" cm="1">
        <f t="array" ref="D37" ca="1">_xll.BDP(C37&amp;" ICPL Curncy","NAME_RT")</f>
        <v>#NAME?</v>
      </c>
      <c r="E37" t="s">
        <v>30</v>
      </c>
      <c r="F37" t="e" cm="1">
        <f t="array" ref="F37" ca="1">_xll.BDP(C37&amp;" Comdty","Maturity_RT")</f>
        <v>#NAME?</v>
      </c>
      <c r="G37" t="e" cm="1">
        <f t="array" ref="G37" ca="1">_xll.BDP(C37&amp;" Comdty","PX_LAST")</f>
        <v>#NAME?</v>
      </c>
      <c r="K37" t="s">
        <v>324</v>
      </c>
      <c r="L37" t="s">
        <v>357</v>
      </c>
      <c r="M37" t="e" cm="1">
        <f t="array" ref="M37" ca="1">_xll.BDP(L37&amp;" ICPL Curncy","NAME_RT")</f>
        <v>#NAME?</v>
      </c>
      <c r="N37" t="s">
        <v>30</v>
      </c>
      <c r="O37" t="e" cm="1">
        <f t="array" ref="O37" ca="1">_xll.BDP(L37&amp;" Comdty","Maturity_RT")</f>
        <v>#NAME?</v>
      </c>
      <c r="P37" t="e" cm="1">
        <f t="array" ref="P37" ca="1">_xll.BDP(L37&amp;" Comdty","PX_LAST")</f>
        <v>#NAME?</v>
      </c>
    </row>
    <row r="38" spans="2:16" x14ac:dyDescent="0.25">
      <c r="B38" t="s">
        <v>326</v>
      </c>
      <c r="C38" t="s">
        <v>335</v>
      </c>
      <c r="D38" t="e" cm="1">
        <f t="array" ref="D38" ca="1">_xll.BDP(C38&amp;" ICPL Curncy","NAME_RT")</f>
        <v>#NAME?</v>
      </c>
      <c r="E38" t="s">
        <v>30</v>
      </c>
      <c r="F38" t="e" cm="1">
        <f t="array" ref="F38" ca="1">_xll.BDP(C38&amp;" Comdty","Maturity_RT")</f>
        <v>#NAME?</v>
      </c>
      <c r="G38" t="e" cm="1">
        <f t="array" ref="G38" ca="1">_xll.BDP(C38&amp;" Comdty","PX_LAST")</f>
        <v>#NAME?</v>
      </c>
      <c r="K38" t="s">
        <v>324</v>
      </c>
      <c r="L38" t="s">
        <v>358</v>
      </c>
      <c r="M38" t="e" cm="1">
        <f t="array" ref="M38" ca="1">_xll.BDP(L38&amp;" ICPL Curncy","NAME_RT")</f>
        <v>#NAME?</v>
      </c>
      <c r="N38" t="s">
        <v>30</v>
      </c>
      <c r="O38" t="e" cm="1">
        <f t="array" ref="O38" ca="1">_xll.BDP(L38&amp;" Comdty","Maturity_RT")</f>
        <v>#NAME?</v>
      </c>
      <c r="P38" t="e" cm="1">
        <f t="array" ref="P38" ca="1">_xll.BDP(L38&amp;" Comdty","PX_LAST")</f>
        <v>#NAME?</v>
      </c>
    </row>
    <row r="39" spans="2:16" x14ac:dyDescent="0.25">
      <c r="B39" t="s">
        <v>326</v>
      </c>
      <c r="C39" t="s">
        <v>336</v>
      </c>
      <c r="D39" t="e" cm="1">
        <f t="array" ref="D39" ca="1">_xll.BDP(C39&amp;" ICPL Curncy","NAME_RT")</f>
        <v>#NAME?</v>
      </c>
      <c r="E39" t="s">
        <v>30</v>
      </c>
      <c r="F39" t="e" cm="1">
        <f t="array" ref="F39" ca="1">_xll.BDP(C39&amp;" Comdty","Maturity_RT")</f>
        <v>#NAME?</v>
      </c>
      <c r="G39" t="e" cm="1">
        <f t="array" ref="G39" ca="1">_xll.BDP(C39&amp;" Comdty","PX_LAST")</f>
        <v>#NAME?</v>
      </c>
      <c r="K39" t="s">
        <v>324</v>
      </c>
      <c r="L39" t="s">
        <v>359</v>
      </c>
      <c r="M39" t="e" cm="1">
        <f t="array" ref="M39" ca="1">_xll.BDP(L39&amp;" ICPL Curncy","NAME_RT")</f>
        <v>#NAME?</v>
      </c>
      <c r="N39" t="s">
        <v>30</v>
      </c>
      <c r="O39" t="e" cm="1">
        <f t="array" ref="O39" ca="1">_xll.BDP(L39&amp;" Comdty","Maturity_RT")</f>
        <v>#NAME?</v>
      </c>
      <c r="P39" t="e" cm="1">
        <f t="array" ref="P39" ca="1">_xll.BDP(L39&amp;" Comdty","PX_LAST")</f>
        <v>#NAME?</v>
      </c>
    </row>
    <row r="40" spans="2:16" x14ac:dyDescent="0.25">
      <c r="B40" t="s">
        <v>326</v>
      </c>
      <c r="C40" t="s">
        <v>337</v>
      </c>
      <c r="D40" t="e" cm="1">
        <f t="array" ref="D40" ca="1">_xll.BDP(C40&amp;" ICPL Curncy","NAME_RT")</f>
        <v>#NAME?</v>
      </c>
      <c r="E40" t="s">
        <v>30</v>
      </c>
      <c r="F40" t="e" cm="1">
        <f t="array" ref="F40" ca="1">_xll.BDP(C40&amp;" Comdty","Maturity_RT")</f>
        <v>#NAME?</v>
      </c>
      <c r="G40" t="e" cm="1">
        <f t="array" ref="G40" ca="1">_xll.BDP(C40&amp;" Comdty","PX_LAST")</f>
        <v>#NAME?</v>
      </c>
      <c r="K40" t="s">
        <v>324</v>
      </c>
      <c r="L40" t="s">
        <v>360</v>
      </c>
      <c r="M40" t="e" cm="1">
        <f t="array" ref="M40" ca="1">_xll.BDP(L40&amp;" ICPL Curncy","NAME_RT")</f>
        <v>#NAME?</v>
      </c>
      <c r="N40" t="s">
        <v>30</v>
      </c>
      <c r="O40" t="e" cm="1">
        <f t="array" ref="O40" ca="1">_xll.BDP(L40&amp;" Comdty","Maturity_RT")</f>
        <v>#NAME?</v>
      </c>
      <c r="P40" t="e" cm="1">
        <f t="array" ref="P40" ca="1">_xll.BDP(L40&amp;" Comdty","PX_LAST")</f>
        <v>#NAME?</v>
      </c>
    </row>
    <row r="41" spans="2:16" x14ac:dyDescent="0.25">
      <c r="B41" t="s">
        <v>326</v>
      </c>
      <c r="C41" t="s">
        <v>338</v>
      </c>
      <c r="D41" t="e" cm="1">
        <f t="array" ref="D41" ca="1">_xll.BDP(C41&amp;" ICPL Curncy","NAME_RT")</f>
        <v>#NAME?</v>
      </c>
      <c r="E41" t="s">
        <v>30</v>
      </c>
      <c r="F41" t="e" cm="1">
        <f t="array" ref="F41" ca="1">_xll.BDP(C41&amp;" Comdty","Maturity_RT")</f>
        <v>#NAME?</v>
      </c>
      <c r="G41" t="e" cm="1">
        <f t="array" ref="G41" ca="1">_xll.BDP(C41&amp;" Comdty","PX_LAST")</f>
        <v>#NAME?</v>
      </c>
      <c r="K41" t="s">
        <v>324</v>
      </c>
      <c r="L41" t="s">
        <v>361</v>
      </c>
      <c r="M41" t="e" cm="1">
        <f t="array" ref="M41" ca="1">_xll.BDP(L41&amp;" ICPL Curncy","NAME_RT")</f>
        <v>#NAME?</v>
      </c>
      <c r="N41" t="s">
        <v>30</v>
      </c>
      <c r="O41" t="e" cm="1">
        <f t="array" ref="O41" ca="1">_xll.BDP(L41&amp;" Comdty","Maturity_RT")</f>
        <v>#NAME?</v>
      </c>
      <c r="P41" t="e" cm="1">
        <f t="array" ref="P41" ca="1">_xll.BDP(L41&amp;" Comdty","PX_LAST")</f>
        <v>#NAME?</v>
      </c>
    </row>
    <row r="42" spans="2:16" x14ac:dyDescent="0.25">
      <c r="B42" t="s">
        <v>326</v>
      </c>
      <c r="C42" t="s">
        <v>339</v>
      </c>
      <c r="D42" t="e" cm="1">
        <f t="array" ref="D42" ca="1">_xll.BDP(C42&amp;" ICPL Curncy","NAME_RT")</f>
        <v>#NAME?</v>
      </c>
      <c r="E42" t="s">
        <v>30</v>
      </c>
      <c r="F42" t="e" cm="1">
        <f t="array" ref="F42" ca="1">_xll.BDP(C42&amp;" Comdty","Maturity_RT")</f>
        <v>#NAME?</v>
      </c>
      <c r="G42" t="e" cm="1">
        <f t="array" ref="G42" ca="1">_xll.BDP(C42&amp;" Comdty","PX_LAST")</f>
        <v>#NAME?</v>
      </c>
      <c r="K42" t="s">
        <v>324</v>
      </c>
      <c r="L42" t="s">
        <v>362</v>
      </c>
      <c r="M42" t="e" cm="1">
        <f t="array" ref="M42" ca="1">_xll.BDP(L42&amp;" ICPL Curncy","NAME_RT")</f>
        <v>#NAME?</v>
      </c>
      <c r="N42" t="s">
        <v>30</v>
      </c>
      <c r="O42" t="e" cm="1">
        <f t="array" ref="O42" ca="1">_xll.BDP(L42&amp;" Comdty","Maturity_RT")</f>
        <v>#NAME?</v>
      </c>
      <c r="P42" t="e" cm="1">
        <f t="array" ref="P42" ca="1">_xll.BDP(L42&amp;" Comdty","PX_LAST")</f>
        <v>#NAME?</v>
      </c>
    </row>
    <row r="43" spans="2:16" x14ac:dyDescent="0.25">
      <c r="B43" t="s">
        <v>326</v>
      </c>
      <c r="C43" t="s">
        <v>340</v>
      </c>
      <c r="D43" t="e" cm="1">
        <f t="array" ref="D43" ca="1">_xll.BDP(C43&amp;" ICPL Curncy","NAME_RT")</f>
        <v>#NAME?</v>
      </c>
      <c r="E43" t="s">
        <v>30</v>
      </c>
      <c r="F43" t="e" cm="1">
        <f t="array" ref="F43" ca="1">_xll.BDP(C43&amp;" Comdty","Maturity_RT")</f>
        <v>#NAME?</v>
      </c>
      <c r="G43" t="e" cm="1">
        <f t="array" ref="G43" ca="1">_xll.BDP(C43&amp;" Comdty","PX_LAST")</f>
        <v>#NAME?</v>
      </c>
      <c r="K43" t="s">
        <v>324</v>
      </c>
      <c r="L43" t="s">
        <v>363</v>
      </c>
      <c r="M43" t="e" cm="1">
        <f t="array" ref="M43" ca="1">_xll.BDP(L43&amp;" ICPL Curncy","NAME_RT")</f>
        <v>#NAME?</v>
      </c>
      <c r="N43" t="s">
        <v>30</v>
      </c>
      <c r="O43" t="e" cm="1">
        <f t="array" ref="O43" ca="1">_xll.BDP(L43&amp;" Comdty","Maturity_RT")</f>
        <v>#NAME?</v>
      </c>
      <c r="P43" t="e" cm="1">
        <f t="array" ref="P43" ca="1">_xll.BDP(L43&amp;" Comdty","PX_LAST")</f>
        <v>#NAME?</v>
      </c>
    </row>
    <row r="44" spans="2:16" x14ac:dyDescent="0.25">
      <c r="B44" t="s">
        <v>326</v>
      </c>
      <c r="C44" t="s">
        <v>341</v>
      </c>
      <c r="D44" t="e" cm="1">
        <f t="array" ref="D44" ca="1">_xll.BDP(C44&amp;" ICPL Curncy","NAME_RT")</f>
        <v>#NAME?</v>
      </c>
      <c r="E44" t="s">
        <v>30</v>
      </c>
      <c r="F44" t="e" cm="1">
        <f t="array" ref="F44" ca="1">_xll.BDP(C44&amp;" Comdty","Maturity_RT")</f>
        <v>#NAME?</v>
      </c>
      <c r="G44" t="e" cm="1">
        <f t="array" ref="G44" ca="1">_xll.BDP(C44&amp;" Comdty","PX_LAST")</f>
        <v>#NAME?</v>
      </c>
      <c r="K44" t="s">
        <v>324</v>
      </c>
      <c r="L44" t="s">
        <v>364</v>
      </c>
      <c r="M44" t="e" cm="1">
        <f t="array" ref="M44" ca="1">_xll.BDP(L44&amp;" ICPL Curncy","NAME_RT")</f>
        <v>#NAME?</v>
      </c>
      <c r="N44" t="s">
        <v>30</v>
      </c>
      <c r="O44" t="e" cm="1">
        <f t="array" ref="O44" ca="1">_xll.BDP(L44&amp;" Comdty","Maturity_RT")</f>
        <v>#NAME?</v>
      </c>
      <c r="P44" t="e" cm="1">
        <f t="array" ref="P44" ca="1">_xll.BDP(L44&amp;" Comdty","PX_LAST")</f>
        <v>#NAME?</v>
      </c>
    </row>
    <row r="45" spans="2:16" x14ac:dyDescent="0.25">
      <c r="B45" t="s">
        <v>326</v>
      </c>
      <c r="C45" t="s">
        <v>342</v>
      </c>
      <c r="D45" t="e" cm="1">
        <f t="array" ref="D45" ca="1">_xll.BDP(C45&amp;" ICPL Curncy","NAME_RT")</f>
        <v>#NAME?</v>
      </c>
      <c r="E45" t="s">
        <v>30</v>
      </c>
      <c r="F45" t="e" cm="1">
        <f t="array" ref="F45" ca="1">_xll.BDP(C45&amp;" Comdty","Maturity_RT")</f>
        <v>#NAME?</v>
      </c>
      <c r="G45" t="e" cm="1">
        <f t="array" ref="G45" ca="1">_xll.BDP(C45&amp;" Comdty","PX_LAST")</f>
        <v>#NAME?</v>
      </c>
      <c r="K45" t="s">
        <v>324</v>
      </c>
      <c r="L45" t="s">
        <v>365</v>
      </c>
      <c r="M45" t="e" cm="1">
        <f t="array" ref="M45" ca="1">_xll.BDP(L45&amp;" ICPL Curncy","NAME_RT")</f>
        <v>#NAME?</v>
      </c>
      <c r="N45" t="s">
        <v>30</v>
      </c>
      <c r="O45" t="e" cm="1">
        <f t="array" ref="O45" ca="1">_xll.BDP(L45&amp;" Comdty","Maturity_RT")</f>
        <v>#NAME?</v>
      </c>
      <c r="P45" t="e" cm="1">
        <f t="array" ref="P45" ca="1">_xll.BDP(L45&amp;" Comdty","PX_LAST")</f>
        <v>#NAME?</v>
      </c>
    </row>
    <row r="46" spans="2:16" x14ac:dyDescent="0.25">
      <c r="B46" t="s">
        <v>326</v>
      </c>
      <c r="C46" t="s">
        <v>343</v>
      </c>
      <c r="D46" t="e" cm="1">
        <f t="array" ref="D46" ca="1">_xll.BDP(C46&amp;" ICPL Curncy","NAME_RT")</f>
        <v>#NAME?</v>
      </c>
      <c r="E46" t="s">
        <v>30</v>
      </c>
      <c r="F46" t="e" cm="1">
        <f t="array" ref="F46" ca="1">_xll.BDP(C46&amp;" Comdty","Maturity_RT")</f>
        <v>#NAME?</v>
      </c>
      <c r="G46" t="e" cm="1">
        <f t="array" ref="G46" ca="1">_xll.BDP(C46&amp;" Comdty","PX_LAST")</f>
        <v>#NAME?</v>
      </c>
      <c r="K46" t="s">
        <v>324</v>
      </c>
      <c r="L46" t="s">
        <v>366</v>
      </c>
      <c r="M46" t="e" cm="1">
        <f t="array" ref="M46" ca="1">_xll.BDP(L46&amp;" ICPL Curncy","NAME_RT")</f>
        <v>#NAME?</v>
      </c>
      <c r="N46" t="s">
        <v>30</v>
      </c>
      <c r="O46" t="e" cm="1">
        <f t="array" ref="O46" ca="1">_xll.BDP(L46&amp;" Comdty","Maturity_RT")</f>
        <v>#NAME?</v>
      </c>
      <c r="P46" t="e" cm="1">
        <f t="array" ref="P46" ca="1">_xll.BDP(L46&amp;" Comdty","PX_LAST")</f>
        <v>#NAME?</v>
      </c>
    </row>
    <row r="47" spans="2:16" x14ac:dyDescent="0.25">
      <c r="B47" t="s">
        <v>326</v>
      </c>
      <c r="C47" t="s">
        <v>344</v>
      </c>
      <c r="D47" t="e" cm="1">
        <f t="array" ref="D47" ca="1">_xll.BDP(C47&amp;" ICPL Curncy","NAME_RT")</f>
        <v>#NAME?</v>
      </c>
      <c r="E47" t="s">
        <v>30</v>
      </c>
      <c r="F47" t="e" cm="1">
        <f t="array" ref="F47" ca="1">_xll.BDP(C47&amp;" Comdty","Maturity_RT")</f>
        <v>#NAME?</v>
      </c>
      <c r="G47" t="e" cm="1">
        <f t="array" ref="G47" ca="1">_xll.BDP(C47&amp;" Comdty","PX_LAST")</f>
        <v>#NAME?</v>
      </c>
      <c r="K47" t="s">
        <v>324</v>
      </c>
      <c r="L47" t="s">
        <v>367</v>
      </c>
      <c r="M47" t="e" cm="1">
        <f t="array" ref="M47" ca="1">_xll.BDP(L47&amp;" ICPL Curncy","NAME_RT")</f>
        <v>#NAME?</v>
      </c>
      <c r="N47" t="s">
        <v>30</v>
      </c>
      <c r="O47" t="e" cm="1">
        <f t="array" ref="O47" ca="1">_xll.BDP(L47&amp;" Comdty","Maturity_RT")</f>
        <v>#NAME?</v>
      </c>
      <c r="P47" t="e" cm="1">
        <f t="array" ref="P47" ca="1">_xll.BDP(L47&amp;" Comdty","PX_LAST")</f>
        <v>#NAME?</v>
      </c>
    </row>
    <row r="48" spans="2:16" x14ac:dyDescent="0.25">
      <c r="K48" t="s">
        <v>324</v>
      </c>
      <c r="L48" t="s">
        <v>368</v>
      </c>
      <c r="M48" t="e" cm="1">
        <f t="array" ref="M48" ca="1">_xll.BDP(L48&amp;" ICPL Curncy","NAME_RT")</f>
        <v>#NAME?</v>
      </c>
      <c r="N48" t="s">
        <v>30</v>
      </c>
      <c r="O48" t="e" cm="1">
        <f t="array" ref="O48" ca="1">_xll.BDP(L48&amp;" Comdty","Maturity_RT")</f>
        <v>#NAME?</v>
      </c>
      <c r="P48" t="e" cm="1">
        <f t="array" ref="P48" ca="1">_xll.BDP(L48&amp;" Comdty","PX_LAST")</f>
        <v>#NAME?</v>
      </c>
    </row>
    <row r="51" spans="1:17" x14ac:dyDescent="0.25">
      <c r="A51" t="s">
        <v>92</v>
      </c>
      <c r="B51" t="s">
        <v>32</v>
      </c>
      <c r="C51" t="s">
        <v>18</v>
      </c>
      <c r="D51" t="e" cm="1">
        <f t="array" ref="D51" ca="1">_xll.BDP(C51&amp;" ICPL Curncy","NAME_RT")</f>
        <v>#NAME?</v>
      </c>
      <c r="E51" t="s">
        <v>30</v>
      </c>
      <c r="F51" s="1">
        <v>44175</v>
      </c>
      <c r="G51" t="e" cm="1">
        <f t="array" ref="G51" ca="1">_xll.BDP(C51&amp;" ICPL Curncy","PX_LAST")</f>
        <v>#NAME?</v>
      </c>
      <c r="J51" t="s">
        <v>92</v>
      </c>
      <c r="K51" t="s">
        <v>32</v>
      </c>
      <c r="L51" t="s">
        <v>299</v>
      </c>
      <c r="M51" t="e" cm="1">
        <f t="array" ref="M51" ca="1">_xll.BDP(L51&amp;" Curncy","NAME_RT")</f>
        <v>#NAME?</v>
      </c>
      <c r="N51" t="s">
        <v>30</v>
      </c>
      <c r="O51" s="1">
        <v>44181</v>
      </c>
      <c r="Q51" t="s">
        <v>307</v>
      </c>
    </row>
    <row r="52" spans="1:17" x14ac:dyDescent="0.25">
      <c r="B52" t="s">
        <v>32</v>
      </c>
      <c r="C52" t="s">
        <v>19</v>
      </c>
      <c r="D52" t="e" cm="1">
        <f t="array" ref="D52" ca="1">_xll.BDP(C52&amp;" ICPL Curncy","NAME_RT")</f>
        <v>#NAME?</v>
      </c>
      <c r="E52" s="1">
        <f>F51</f>
        <v>44175</v>
      </c>
      <c r="F52" s="1">
        <v>44217</v>
      </c>
      <c r="G52" t="e" cm="1">
        <f t="array" ref="G52" ca="1">_xll.BDP(C52&amp;" ICPL Curncy","PX_LAST")</f>
        <v>#NAME?</v>
      </c>
      <c r="K52" t="s">
        <v>32</v>
      </c>
      <c r="L52" t="s">
        <v>300</v>
      </c>
      <c r="M52" t="e" cm="1">
        <f t="array" ref="M52" ca="1">_xll.BDP(L52&amp;" Curncy","NAME_RT")</f>
        <v>#NAME?</v>
      </c>
      <c r="N52" s="1">
        <f>O51</f>
        <v>44181</v>
      </c>
      <c r="O52" s="1">
        <v>44223</v>
      </c>
    </row>
    <row r="53" spans="1:17" x14ac:dyDescent="0.25">
      <c r="B53" t="s">
        <v>32</v>
      </c>
      <c r="C53" t="s">
        <v>20</v>
      </c>
      <c r="D53" t="e" cm="1">
        <f t="array" ref="D53" ca="1">_xll.BDP(C53&amp;" ICPL Curncy","NAME_RT")</f>
        <v>#NAME?</v>
      </c>
      <c r="E53" s="1">
        <f t="shared" ref="E53:E58" si="0">F52</f>
        <v>44217</v>
      </c>
      <c r="F53" s="1">
        <v>44266</v>
      </c>
      <c r="G53" t="e" cm="1">
        <f t="array" ref="G53" ca="1">_xll.BDP(C53&amp;" ICPL Curncy","PX_LAST")</f>
        <v>#NAME?</v>
      </c>
      <c r="K53" t="s">
        <v>32</v>
      </c>
      <c r="L53" t="s">
        <v>301</v>
      </c>
      <c r="M53" t="e" cm="1">
        <f t="array" ref="M53" ca="1">_xll.BDP(L53&amp;" Curncy","NAME_RT")</f>
        <v>#NAME?</v>
      </c>
      <c r="N53" s="1">
        <f t="shared" ref="N53:N58" si="1">O52</f>
        <v>44223</v>
      </c>
      <c r="O53" s="1">
        <v>44272</v>
      </c>
    </row>
    <row r="54" spans="1:17" x14ac:dyDescent="0.25">
      <c r="B54" t="s">
        <v>32</v>
      </c>
      <c r="C54" t="s">
        <v>21</v>
      </c>
      <c r="D54" t="e" cm="1">
        <f t="array" ref="D54" ca="1">_xll.BDP(C54&amp;" ICPL Curncy","NAME_RT")</f>
        <v>#NAME?</v>
      </c>
      <c r="E54" s="1">
        <f t="shared" si="0"/>
        <v>44266</v>
      </c>
      <c r="F54" s="1">
        <v>44308</v>
      </c>
      <c r="G54" t="e" cm="1">
        <f t="array" ref="G54" ca="1">_xll.BDP(C54&amp;" ICPL Curncy","PX_LAST")</f>
        <v>#NAME?</v>
      </c>
      <c r="K54" t="s">
        <v>32</v>
      </c>
      <c r="L54" t="s">
        <v>302</v>
      </c>
      <c r="M54" t="e" cm="1">
        <f t="array" ref="M54" ca="1">_xll.BDP(L54&amp;" Curncy","NAME_RT")</f>
        <v>#NAME?</v>
      </c>
      <c r="N54" s="1">
        <f t="shared" si="1"/>
        <v>44272</v>
      </c>
      <c r="O54" s="1">
        <v>44314</v>
      </c>
    </row>
    <row r="55" spans="1:17" x14ac:dyDescent="0.25">
      <c r="B55" t="s">
        <v>32</v>
      </c>
      <c r="C55" t="s">
        <v>22</v>
      </c>
      <c r="D55" t="e" cm="1">
        <f t="array" ref="D55" ca="1">_xll.BDP(C55&amp;" ICPL Curncy","NAME_RT")</f>
        <v>#NAME?</v>
      </c>
      <c r="E55" s="1">
        <f t="shared" si="0"/>
        <v>44308</v>
      </c>
      <c r="F55" s="1">
        <v>44357</v>
      </c>
      <c r="G55" t="e" cm="1">
        <f t="array" ref="G55" ca="1">_xll.BDP(C55&amp;" ICPL Curncy","PX_LAST")</f>
        <v>#NAME?</v>
      </c>
      <c r="K55" t="s">
        <v>32</v>
      </c>
      <c r="L55" t="s">
        <v>303</v>
      </c>
      <c r="M55" t="e" cm="1">
        <f t="array" ref="M55" ca="1">_xll.BDP(L55&amp;" Curncy","NAME_RT")</f>
        <v>#NAME?</v>
      </c>
      <c r="N55" s="1">
        <f t="shared" si="1"/>
        <v>44314</v>
      </c>
      <c r="O55" s="1">
        <v>44363</v>
      </c>
    </row>
    <row r="56" spans="1:17" x14ac:dyDescent="0.25">
      <c r="B56" t="s">
        <v>32</v>
      </c>
      <c r="C56" t="s">
        <v>23</v>
      </c>
      <c r="D56" t="e" cm="1">
        <f t="array" ref="D56" ca="1">_xll.BDP(C56&amp;" ICPL Curncy","NAME_RT")</f>
        <v>#NAME?</v>
      </c>
      <c r="E56" s="1">
        <f t="shared" si="0"/>
        <v>44357</v>
      </c>
      <c r="F56" s="1">
        <v>44399</v>
      </c>
      <c r="G56" t="e" cm="1">
        <f t="array" ref="G56" ca="1">_xll.BDP(C56&amp;" ICPL Curncy","PX_LAST")</f>
        <v>#NAME?</v>
      </c>
      <c r="K56" t="s">
        <v>32</v>
      </c>
      <c r="L56" t="s">
        <v>304</v>
      </c>
      <c r="M56" t="e" cm="1">
        <f t="array" ref="M56" ca="1">_xll.BDP(L56&amp;" Curncy","NAME_RT")</f>
        <v>#NAME?</v>
      </c>
      <c r="N56" s="1">
        <f t="shared" si="1"/>
        <v>44363</v>
      </c>
      <c r="O56" s="1">
        <v>44405</v>
      </c>
    </row>
    <row r="57" spans="1:17" x14ac:dyDescent="0.25">
      <c r="B57" t="s">
        <v>32</v>
      </c>
      <c r="C57" t="s">
        <v>24</v>
      </c>
      <c r="D57" t="e" cm="1">
        <f t="array" ref="D57" ca="1">_xll.BDP(C57&amp;" ICPL Curncy","NAME_RT")</f>
        <v>#NAME?</v>
      </c>
      <c r="E57" s="1">
        <f t="shared" si="0"/>
        <v>44399</v>
      </c>
      <c r="F57" s="1">
        <v>44448</v>
      </c>
      <c r="G57" t="e" cm="1">
        <f t="array" ref="G57" ca="1">_xll.BDP(C57&amp;" ICPL Curncy","PX_LAST")</f>
        <v>#NAME?</v>
      </c>
      <c r="K57" t="s">
        <v>32</v>
      </c>
      <c r="L57" t="s">
        <v>305</v>
      </c>
      <c r="M57" t="e" cm="1">
        <f t="array" ref="M57" ca="1">_xll.BDP(L57&amp;" Curncy","NAME_RT")</f>
        <v>#NAME?</v>
      </c>
      <c r="N57" s="1">
        <f t="shared" si="1"/>
        <v>44405</v>
      </c>
      <c r="O57" s="1">
        <v>44461</v>
      </c>
    </row>
    <row r="58" spans="1:17" x14ac:dyDescent="0.25">
      <c r="B58" t="s">
        <v>32</v>
      </c>
      <c r="C58" t="s">
        <v>25</v>
      </c>
      <c r="D58" t="e" cm="1">
        <f t="array" ref="D58" ca="1">_xll.BDP(C58&amp;" ICPL Curncy","NAME_RT")</f>
        <v>#NAME?</v>
      </c>
      <c r="E58" s="1">
        <f t="shared" si="0"/>
        <v>44448</v>
      </c>
      <c r="F58" s="1">
        <v>44497</v>
      </c>
      <c r="G58" t="e" cm="1">
        <f t="array" ref="G58" ca="1">_xll.BDP(C58&amp;" ICPL Curncy","PX_LAST")</f>
        <v>#NAME?</v>
      </c>
      <c r="K58" t="s">
        <v>32</v>
      </c>
      <c r="L58" t="s">
        <v>306</v>
      </c>
      <c r="N58" s="1">
        <f t="shared" si="1"/>
        <v>44461</v>
      </c>
      <c r="O58" s="1">
        <v>44503</v>
      </c>
    </row>
    <row r="60" spans="1:17" x14ac:dyDescent="0.25">
      <c r="A60" t="s">
        <v>93</v>
      </c>
      <c r="B60" t="s">
        <v>8</v>
      </c>
      <c r="C60" t="s">
        <v>47</v>
      </c>
      <c r="D60" t="s">
        <v>59</v>
      </c>
      <c r="E60" t="e" cm="1">
        <f t="array" ref="E60" ca="1">_xll.BDP(C60&amp;" Comdty","INT_RATE_FUT_START_DT")</f>
        <v>#NAME?</v>
      </c>
      <c r="F60" t="e" cm="1">
        <f t="array" ref="F60" ca="1">_xll.BDP(C60&amp;" Comdty","INT_RATE_FUT_END_DT")</f>
        <v>#NAME?</v>
      </c>
      <c r="G60" t="e" cm="1">
        <f t="array" ref="G60" ca="1">_xll.BDP(C60&amp;" Comdty","PX_LAST")</f>
        <v>#NAME?</v>
      </c>
      <c r="H60" t="e" cm="1">
        <f t="array" ref="H60" ca="1">_xll.BDP(_xll.BDP(C60&amp;" Comdty","FUT_CUR_GEN_TICKER")&amp;" Comdty","CONVEXITY_BIAS_BASIS_POINTS")</f>
        <v>#NAME?</v>
      </c>
      <c r="J60" t="s">
        <v>93</v>
      </c>
      <c r="K60" t="s">
        <v>8</v>
      </c>
      <c r="L60" t="s">
        <v>308</v>
      </c>
      <c r="M60" t="s">
        <v>454</v>
      </c>
      <c r="N60" t="e" cm="1">
        <f t="array" ref="N60" ca="1">_xll.BDP(L60&amp;" Comdty","INT_RATE_FUT_START_DT")</f>
        <v>#NAME?</v>
      </c>
      <c r="O60" t="e" cm="1">
        <f t="array" ref="O60" ca="1">_xll.BDP(L60&amp;" Comdty","INT_RATE_FUT_END_DT")</f>
        <v>#NAME?</v>
      </c>
      <c r="P60" t="e" cm="1">
        <f t="array" ref="P60" ca="1">_xll.BDP(L60&amp;" Comdty","PX_LAST")</f>
        <v>#NAME?</v>
      </c>
      <c r="Q60" t="e" cm="1">
        <f t="array" ref="Q60" ca="1">_xll.BDP(_xll.BDP(L60&amp;" Comdty","FUT_CUR_GEN_TICKER")&amp;" Comdty","CONVEXITY_BIAS_BASIS_POINTS")</f>
        <v>#NAME?</v>
      </c>
    </row>
    <row r="61" spans="1:17" x14ac:dyDescent="0.25">
      <c r="B61" t="s">
        <v>8</v>
      </c>
      <c r="C61" t="s">
        <v>48</v>
      </c>
      <c r="D61" t="s">
        <v>59</v>
      </c>
      <c r="E61" t="e" cm="1">
        <f t="array" ref="E61" ca="1">_xll.BDP(C61&amp;" Comdty","INT_RATE_FUT_START_DT")</f>
        <v>#NAME?</v>
      </c>
      <c r="F61" t="e" cm="1">
        <f t="array" ref="F61" ca="1">_xll.BDP(C61&amp;" Comdty","INT_RATE_FUT_END_DT")</f>
        <v>#NAME?</v>
      </c>
      <c r="G61" t="e" cm="1">
        <f t="array" ref="G61" ca="1">_xll.BDP(C61&amp;" Comdty","PX_LAST")</f>
        <v>#NAME?</v>
      </c>
      <c r="H61" t="e" cm="1">
        <f t="array" ref="H61" ca="1">_xll.BDP(_xll.BDP(C61&amp;" Comdty","FUT_CUR_GEN_TICKER")&amp;" Comdty","CONVEXITY_BIAS_BASIS_POINTS")</f>
        <v>#NAME?</v>
      </c>
      <c r="K61" t="s">
        <v>8</v>
      </c>
      <c r="L61" t="s">
        <v>309</v>
      </c>
      <c r="M61" t="s">
        <v>454</v>
      </c>
      <c r="N61" t="e" cm="1">
        <f t="array" ref="N61" ca="1">_xll.BDP(L61&amp;" Comdty","INT_RATE_FUT_START_DT")</f>
        <v>#NAME?</v>
      </c>
      <c r="O61" t="e" cm="1">
        <f t="array" ref="O61" ca="1">_xll.BDP(L61&amp;" Comdty","INT_RATE_FUT_END_DT")</f>
        <v>#NAME?</v>
      </c>
      <c r="P61" t="e" cm="1">
        <f t="array" ref="P61" ca="1">_xll.BDP(L61&amp;" Comdty","PX_LAST")</f>
        <v>#NAME?</v>
      </c>
      <c r="Q61" t="e" cm="1">
        <f t="array" ref="Q61" ca="1">_xll.BDP(_xll.BDP(L61&amp;" Comdty","FUT_CUR_GEN_TICKER")&amp;" Comdty","CONVEXITY_BIAS_BASIS_POINTS")</f>
        <v>#NAME?</v>
      </c>
    </row>
    <row r="62" spans="1:17" x14ac:dyDescent="0.25">
      <c r="B62" t="s">
        <v>8</v>
      </c>
      <c r="C62" t="s">
        <v>49</v>
      </c>
      <c r="D62" t="s">
        <v>59</v>
      </c>
      <c r="E62" t="e" cm="1">
        <f t="array" ref="E62" ca="1">_xll.BDP(C62&amp;" Comdty","INT_RATE_FUT_START_DT")</f>
        <v>#NAME?</v>
      </c>
      <c r="F62" t="e" cm="1">
        <f t="array" ref="F62" ca="1">_xll.BDP(C62&amp;" Comdty","INT_RATE_FUT_END_DT")</f>
        <v>#NAME?</v>
      </c>
      <c r="G62" t="e" cm="1">
        <f t="array" ref="G62" ca="1">_xll.BDP(C62&amp;" Comdty","PX_LAST")</f>
        <v>#NAME?</v>
      </c>
      <c r="H62" t="e" cm="1">
        <f t="array" ref="H62" ca="1">_xll.BDP(_xll.BDP(C62&amp;" Comdty","FUT_CUR_GEN_TICKER")&amp;" Comdty","CONVEXITY_BIAS_BASIS_POINTS")</f>
        <v>#NAME?</v>
      </c>
      <c r="K62" t="s">
        <v>8</v>
      </c>
      <c r="L62" t="s">
        <v>310</v>
      </c>
      <c r="M62" t="s">
        <v>454</v>
      </c>
      <c r="N62" t="e" cm="1">
        <f t="array" ref="N62" ca="1">_xll.BDP(L62&amp;" Comdty","INT_RATE_FUT_START_DT")</f>
        <v>#NAME?</v>
      </c>
      <c r="O62" t="e" cm="1">
        <f t="array" ref="O62" ca="1">_xll.BDP(L62&amp;" Comdty","INT_RATE_FUT_END_DT")</f>
        <v>#NAME?</v>
      </c>
      <c r="P62" t="e" cm="1">
        <f t="array" ref="P62" ca="1">_xll.BDP(L62&amp;" Comdty","PX_LAST")</f>
        <v>#NAME?</v>
      </c>
      <c r="Q62" t="e" cm="1">
        <f t="array" ref="Q62" ca="1">_xll.BDP(_xll.BDP(L62&amp;" Comdty","FUT_CUR_GEN_TICKER")&amp;" Comdty","CONVEXITY_BIAS_BASIS_POINTS")</f>
        <v>#NAME?</v>
      </c>
    </row>
    <row r="63" spans="1:17" x14ac:dyDescent="0.25">
      <c r="B63" t="s">
        <v>8</v>
      </c>
      <c r="C63" t="s">
        <v>50</v>
      </c>
      <c r="D63" t="s">
        <v>59</v>
      </c>
      <c r="E63" t="e" cm="1">
        <f t="array" ref="E63" ca="1">_xll.BDP(C63&amp;" Comdty","INT_RATE_FUT_START_DT")</f>
        <v>#NAME?</v>
      </c>
      <c r="F63" t="e" cm="1">
        <f t="array" ref="F63" ca="1">_xll.BDP(C63&amp;" Comdty","INT_RATE_FUT_END_DT")</f>
        <v>#NAME?</v>
      </c>
      <c r="G63" t="e" cm="1">
        <f t="array" ref="G63" ca="1">_xll.BDP(C63&amp;" Comdty","PX_LAST")</f>
        <v>#NAME?</v>
      </c>
      <c r="H63" t="e" cm="1">
        <f t="array" ref="H63" ca="1">_xll.BDP(_xll.BDP(C63&amp;" Comdty","FUT_CUR_GEN_TICKER")&amp;" Comdty","CONVEXITY_BIAS_BASIS_POINTS")</f>
        <v>#NAME?</v>
      </c>
      <c r="K63" t="s">
        <v>8</v>
      </c>
      <c r="L63" t="s">
        <v>311</v>
      </c>
      <c r="M63" t="s">
        <v>454</v>
      </c>
      <c r="N63" t="e" cm="1">
        <f t="array" ref="N63" ca="1">_xll.BDP(L63&amp;" Comdty","INT_RATE_FUT_START_DT")</f>
        <v>#NAME?</v>
      </c>
      <c r="O63" t="e" cm="1">
        <f t="array" ref="O63" ca="1">_xll.BDP(L63&amp;" Comdty","INT_RATE_FUT_END_DT")</f>
        <v>#NAME?</v>
      </c>
      <c r="P63" t="e" cm="1">
        <f t="array" ref="P63" ca="1">_xll.BDP(L63&amp;" Comdty","PX_LAST")</f>
        <v>#NAME?</v>
      </c>
      <c r="Q63" t="e" cm="1">
        <f t="array" ref="Q63" ca="1">_xll.BDP(_xll.BDP(L63&amp;" Comdty","FUT_CUR_GEN_TICKER")&amp;" Comdty","CONVEXITY_BIAS_BASIS_POINTS")</f>
        <v>#NAME?</v>
      </c>
    </row>
    <row r="64" spans="1:17" x14ac:dyDescent="0.25">
      <c r="B64" t="s">
        <v>8</v>
      </c>
      <c r="C64" t="s">
        <v>51</v>
      </c>
      <c r="D64" t="s">
        <v>59</v>
      </c>
      <c r="E64" t="e" cm="1">
        <f t="array" ref="E64" ca="1">_xll.BDP(C64&amp;" Comdty","INT_RATE_FUT_START_DT")</f>
        <v>#NAME?</v>
      </c>
      <c r="F64" t="e" cm="1">
        <f t="array" ref="F64" ca="1">_xll.BDP(C64&amp;" Comdty","INT_RATE_FUT_END_DT")</f>
        <v>#NAME?</v>
      </c>
      <c r="G64" t="e" cm="1">
        <f t="array" ref="G64" ca="1">_xll.BDP(C64&amp;" Comdty","PX_LAST")</f>
        <v>#NAME?</v>
      </c>
      <c r="H64" t="e" cm="1">
        <f t="array" ref="H64" ca="1">_xll.BDP(_xll.BDP(C64&amp;" Comdty","FUT_CUR_GEN_TICKER")&amp;" Comdty","CONVEXITY_BIAS_BASIS_POINTS")</f>
        <v>#NAME?</v>
      </c>
      <c r="K64" t="s">
        <v>8</v>
      </c>
      <c r="L64" t="s">
        <v>312</v>
      </c>
      <c r="M64" t="s">
        <v>454</v>
      </c>
      <c r="N64" t="e" cm="1">
        <f t="array" ref="N64" ca="1">_xll.BDP(L64&amp;" Comdty","INT_RATE_FUT_START_DT")</f>
        <v>#NAME?</v>
      </c>
      <c r="O64" t="e" cm="1">
        <f t="array" ref="O64" ca="1">_xll.BDP(L64&amp;" Comdty","INT_RATE_FUT_END_DT")</f>
        <v>#NAME?</v>
      </c>
      <c r="P64" t="e" cm="1">
        <f t="array" ref="P64" ca="1">_xll.BDP(L64&amp;" Comdty","PX_LAST")</f>
        <v>#NAME?</v>
      </c>
      <c r="Q64" t="e" cm="1">
        <f t="array" ref="Q64" ca="1">_xll.BDP(_xll.BDP(L64&amp;" Comdty","FUT_CUR_GEN_TICKER")&amp;" Comdty","CONVEXITY_BIAS_BASIS_POINTS")</f>
        <v>#NAME?</v>
      </c>
    </row>
    <row r="65" spans="1:17" x14ac:dyDescent="0.25">
      <c r="B65" t="s">
        <v>8</v>
      </c>
      <c r="C65" t="s">
        <v>52</v>
      </c>
      <c r="D65" t="s">
        <v>59</v>
      </c>
      <c r="E65" t="e" cm="1">
        <f t="array" ref="E65" ca="1">_xll.BDP(C65&amp;" Comdty","INT_RATE_FUT_START_DT")</f>
        <v>#NAME?</v>
      </c>
      <c r="F65" t="e" cm="1">
        <f t="array" ref="F65" ca="1">_xll.BDP(C65&amp;" Comdty","INT_RATE_FUT_END_DT")</f>
        <v>#NAME?</v>
      </c>
      <c r="G65" t="e" cm="1">
        <f t="array" ref="G65" ca="1">_xll.BDP(C65&amp;" Comdty","PX_LAST")</f>
        <v>#NAME?</v>
      </c>
      <c r="H65" t="e" cm="1">
        <f t="array" ref="H65" ca="1">_xll.BDP(_xll.BDP(C65&amp;" Comdty","FUT_CUR_GEN_TICKER")&amp;" Comdty","CONVEXITY_BIAS_BASIS_POINTS")</f>
        <v>#NAME?</v>
      </c>
      <c r="K65" t="s">
        <v>8</v>
      </c>
      <c r="L65" t="s">
        <v>313</v>
      </c>
      <c r="M65" t="s">
        <v>454</v>
      </c>
      <c r="N65" t="e" cm="1">
        <f t="array" ref="N65" ca="1">_xll.BDP(L65&amp;" Comdty","INT_RATE_FUT_START_DT")</f>
        <v>#NAME?</v>
      </c>
      <c r="O65" t="e" cm="1">
        <f t="array" ref="O65" ca="1">_xll.BDP(L65&amp;" Comdty","INT_RATE_FUT_END_DT")</f>
        <v>#NAME?</v>
      </c>
      <c r="P65" t="e" cm="1">
        <f t="array" ref="P65" ca="1">_xll.BDP(L65&amp;" Comdty","PX_LAST")</f>
        <v>#NAME?</v>
      </c>
      <c r="Q65" t="e" cm="1">
        <f t="array" ref="Q65" ca="1">_xll.BDP(_xll.BDP(L65&amp;" Comdty","FUT_CUR_GEN_TICKER")&amp;" Comdty","CONVEXITY_BIAS_BASIS_POINTS")</f>
        <v>#NAME?</v>
      </c>
    </row>
    <row r="66" spans="1:17" x14ac:dyDescent="0.25">
      <c r="B66" t="s">
        <v>8</v>
      </c>
      <c r="C66" t="s">
        <v>53</v>
      </c>
      <c r="D66" t="s">
        <v>59</v>
      </c>
      <c r="E66" t="e" cm="1">
        <f t="array" ref="E66" ca="1">_xll.BDP(C66&amp;" Comdty","INT_RATE_FUT_START_DT")</f>
        <v>#NAME?</v>
      </c>
      <c r="F66" t="e" cm="1">
        <f t="array" ref="F66" ca="1">_xll.BDP(C66&amp;" Comdty","INT_RATE_FUT_END_DT")</f>
        <v>#NAME?</v>
      </c>
      <c r="G66" t="e" cm="1">
        <f t="array" ref="G66" ca="1">_xll.BDP(C66&amp;" Comdty","PX_LAST")</f>
        <v>#NAME?</v>
      </c>
      <c r="H66" t="e" cm="1">
        <f t="array" ref="H66" ca="1">_xll.BDP(_xll.BDP(C66&amp;" Comdty","FUT_CUR_GEN_TICKER")&amp;" Comdty","CONVEXITY_BIAS_BASIS_POINTS")</f>
        <v>#NAME?</v>
      </c>
      <c r="K66" t="s">
        <v>8</v>
      </c>
      <c r="L66" t="s">
        <v>314</v>
      </c>
      <c r="M66" t="s">
        <v>454</v>
      </c>
      <c r="N66" t="e" cm="1">
        <f t="array" ref="N66" ca="1">_xll.BDP(L66&amp;" Comdty","INT_RATE_FUT_START_DT")</f>
        <v>#NAME?</v>
      </c>
      <c r="O66" t="e" cm="1">
        <f t="array" ref="O66" ca="1">_xll.BDP(L66&amp;" Comdty","INT_RATE_FUT_END_DT")</f>
        <v>#NAME?</v>
      </c>
      <c r="P66" t="e" cm="1">
        <f t="array" ref="P66" ca="1">_xll.BDP(L66&amp;" Comdty","PX_LAST")</f>
        <v>#NAME?</v>
      </c>
      <c r="Q66" t="e" cm="1">
        <f t="array" ref="Q66" ca="1">_xll.BDP(_xll.BDP(L66&amp;" Comdty","FUT_CUR_GEN_TICKER")&amp;" Comdty","CONVEXITY_BIAS_BASIS_POINTS")</f>
        <v>#NAME?</v>
      </c>
    </row>
    <row r="67" spans="1:17" x14ac:dyDescent="0.25">
      <c r="B67" t="s">
        <v>8</v>
      </c>
      <c r="C67" t="s">
        <v>54</v>
      </c>
      <c r="D67" t="s">
        <v>59</v>
      </c>
      <c r="E67" t="e" cm="1">
        <f t="array" ref="E67" ca="1">_xll.BDP(C67&amp;" Comdty","INT_RATE_FUT_START_DT")</f>
        <v>#NAME?</v>
      </c>
      <c r="F67" t="e" cm="1">
        <f t="array" ref="F67" ca="1">_xll.BDP(C67&amp;" Comdty","INT_RATE_FUT_END_DT")</f>
        <v>#NAME?</v>
      </c>
      <c r="G67" t="e" cm="1">
        <f t="array" ref="G67" ca="1">_xll.BDP(C67&amp;" Comdty","PX_LAST")</f>
        <v>#NAME?</v>
      </c>
      <c r="H67" t="e" cm="1">
        <f t="array" ref="H67" ca="1">_xll.BDP(_xll.BDP(C67&amp;" Comdty","FUT_CUR_GEN_TICKER")&amp;" Comdty","CONVEXITY_BIAS_BASIS_POINTS")</f>
        <v>#NAME?</v>
      </c>
      <c r="K67" t="s">
        <v>8</v>
      </c>
      <c r="L67" t="s">
        <v>315</v>
      </c>
      <c r="M67" t="s">
        <v>454</v>
      </c>
      <c r="N67" t="e" cm="1">
        <f t="array" ref="N67" ca="1">_xll.BDP(L67&amp;" Comdty","INT_RATE_FUT_START_DT")</f>
        <v>#NAME?</v>
      </c>
      <c r="O67" t="e" cm="1">
        <f t="array" ref="O67" ca="1">_xll.BDP(L67&amp;" Comdty","INT_RATE_FUT_END_DT")</f>
        <v>#NAME?</v>
      </c>
      <c r="P67" t="e" cm="1">
        <f t="array" ref="P67" ca="1">_xll.BDP(L67&amp;" Comdty","PX_LAST")</f>
        <v>#NAME?</v>
      </c>
      <c r="Q67" t="e" cm="1">
        <f t="array" ref="Q67" ca="1">_xll.BDP(_xll.BDP(L67&amp;" Comdty","FUT_CUR_GEN_TICKER")&amp;" Comdty","CONVEXITY_BIAS_BASIS_POINTS")</f>
        <v>#NAME?</v>
      </c>
    </row>
    <row r="68" spans="1:17" x14ac:dyDescent="0.25">
      <c r="B68" t="s">
        <v>8</v>
      </c>
      <c r="C68" t="s">
        <v>55</v>
      </c>
      <c r="D68" t="s">
        <v>59</v>
      </c>
      <c r="E68" t="e" cm="1">
        <f t="array" ref="E68" ca="1">_xll.BDP(C68&amp;" Comdty","INT_RATE_FUT_START_DT")</f>
        <v>#NAME?</v>
      </c>
      <c r="F68" t="e" cm="1">
        <f t="array" ref="F68" ca="1">_xll.BDP(C68&amp;" Comdty","INT_RATE_FUT_END_DT")</f>
        <v>#NAME?</v>
      </c>
      <c r="G68" t="e" cm="1">
        <f t="array" ref="G68" ca="1">_xll.BDP(C68&amp;" Comdty","PX_LAST")</f>
        <v>#NAME?</v>
      </c>
      <c r="H68" t="e" cm="1">
        <f t="array" ref="H68" ca="1">_xll.BDP(_xll.BDP(C68&amp;" Comdty","FUT_CUR_GEN_TICKER")&amp;" Comdty","CONVEXITY_BIAS_BASIS_POINTS")</f>
        <v>#NAME?</v>
      </c>
      <c r="K68" t="s">
        <v>8</v>
      </c>
      <c r="L68" t="s">
        <v>316</v>
      </c>
      <c r="M68" t="s">
        <v>454</v>
      </c>
      <c r="N68" t="e" cm="1">
        <f t="array" ref="N68" ca="1">_xll.BDP(L68&amp;" Comdty","INT_RATE_FUT_START_DT")</f>
        <v>#NAME?</v>
      </c>
      <c r="O68" t="e" cm="1">
        <f t="array" ref="O68" ca="1">_xll.BDP(L68&amp;" Comdty","INT_RATE_FUT_END_DT")</f>
        <v>#NAME?</v>
      </c>
      <c r="P68" t="e" cm="1">
        <f t="array" ref="P68" ca="1">_xll.BDP(L68&amp;" Comdty","PX_LAST")</f>
        <v>#NAME?</v>
      </c>
      <c r="Q68" t="e" cm="1">
        <f t="array" ref="Q68" ca="1">_xll.BDP(_xll.BDP(L68&amp;" Comdty","FUT_CUR_GEN_TICKER")&amp;" Comdty","CONVEXITY_BIAS_BASIS_POINTS")</f>
        <v>#NAME?</v>
      </c>
    </row>
    <row r="69" spans="1:17" x14ac:dyDescent="0.25">
      <c r="B69" t="s">
        <v>8</v>
      </c>
      <c r="C69" t="s">
        <v>56</v>
      </c>
      <c r="D69" t="s">
        <v>59</v>
      </c>
      <c r="E69" t="e" cm="1">
        <f t="array" ref="E69" ca="1">_xll.BDP(C69&amp;" Comdty","INT_RATE_FUT_START_DT")</f>
        <v>#NAME?</v>
      </c>
      <c r="F69" t="e" cm="1">
        <f t="array" ref="F69" ca="1">_xll.BDP(C69&amp;" Comdty","INT_RATE_FUT_END_DT")</f>
        <v>#NAME?</v>
      </c>
      <c r="G69" t="e" cm="1">
        <f t="array" ref="G69" ca="1">_xll.BDP(C69&amp;" Comdty","PX_LAST")</f>
        <v>#NAME?</v>
      </c>
      <c r="H69" t="e" cm="1">
        <f t="array" ref="H69" ca="1">_xll.BDP(_xll.BDP(C69&amp;" Comdty","FUT_CUR_GEN_TICKER")&amp;" Comdty","CONVEXITY_BIAS_BASIS_POINTS")</f>
        <v>#NAME?</v>
      </c>
      <c r="K69" t="s">
        <v>8</v>
      </c>
      <c r="L69" t="s">
        <v>317</v>
      </c>
      <c r="M69" t="s">
        <v>454</v>
      </c>
      <c r="N69" t="e" cm="1">
        <f t="array" ref="N69" ca="1">_xll.BDP(L69&amp;" Comdty","INT_RATE_FUT_START_DT")</f>
        <v>#NAME?</v>
      </c>
      <c r="O69" t="e" cm="1">
        <f t="array" ref="O69" ca="1">_xll.BDP(L69&amp;" Comdty","INT_RATE_FUT_END_DT")</f>
        <v>#NAME?</v>
      </c>
      <c r="P69" t="e" cm="1">
        <f t="array" ref="P69" ca="1">_xll.BDP(L69&amp;" Comdty","PX_LAST")</f>
        <v>#NAME?</v>
      </c>
      <c r="Q69" t="e" cm="1">
        <f t="array" ref="Q69" ca="1">_xll.BDP(_xll.BDP(L69&amp;" Comdty","FUT_CUR_GEN_TICKER")&amp;" Comdty","CONVEXITY_BIAS_BASIS_POINTS")</f>
        <v>#NAME?</v>
      </c>
    </row>
    <row r="70" spans="1:17" x14ac:dyDescent="0.25">
      <c r="B70" t="s">
        <v>8</v>
      </c>
      <c r="C70" t="s">
        <v>57</v>
      </c>
      <c r="D70" t="s">
        <v>59</v>
      </c>
      <c r="E70" t="e" cm="1">
        <f t="array" ref="E70" ca="1">_xll.BDP(C70&amp;" Comdty","INT_RATE_FUT_START_DT")</f>
        <v>#NAME?</v>
      </c>
      <c r="F70" t="e" cm="1">
        <f t="array" ref="F70" ca="1">_xll.BDP(C70&amp;" Comdty","INT_RATE_FUT_END_DT")</f>
        <v>#NAME?</v>
      </c>
      <c r="G70" t="e" cm="1">
        <f t="array" ref="G70" ca="1">_xll.BDP(C70&amp;" Comdty","PX_LAST")</f>
        <v>#NAME?</v>
      </c>
      <c r="H70" t="e" cm="1">
        <f t="array" ref="H70" ca="1">_xll.BDP(_xll.BDP(C70&amp;" Comdty","FUT_CUR_GEN_TICKER")&amp;" Comdty","CONVEXITY_BIAS_BASIS_POINTS")</f>
        <v>#NAME?</v>
      </c>
      <c r="K70" t="s">
        <v>8</v>
      </c>
      <c r="L70" t="s">
        <v>318</v>
      </c>
      <c r="M70" t="s">
        <v>454</v>
      </c>
      <c r="N70" t="e" cm="1">
        <f t="array" ref="N70" ca="1">_xll.BDP(L70&amp;" Comdty","INT_RATE_FUT_START_DT")</f>
        <v>#NAME?</v>
      </c>
      <c r="O70" t="e" cm="1">
        <f t="array" ref="O70" ca="1">_xll.BDP(L70&amp;" Comdty","INT_RATE_FUT_END_DT")</f>
        <v>#NAME?</v>
      </c>
      <c r="P70" t="e" cm="1">
        <f t="array" ref="P70" ca="1">_xll.BDP(L70&amp;" Comdty","PX_LAST")</f>
        <v>#NAME?</v>
      </c>
      <c r="Q70" t="e" cm="1">
        <f t="array" ref="Q70" ca="1">_xll.BDP(_xll.BDP(L70&amp;" Comdty","FUT_CUR_GEN_TICKER")&amp;" Comdty","CONVEXITY_BIAS_BASIS_POINTS")</f>
        <v>#NAME?</v>
      </c>
    </row>
    <row r="71" spans="1:17" x14ac:dyDescent="0.25">
      <c r="B71" t="s">
        <v>8</v>
      </c>
      <c r="C71" t="s">
        <v>58</v>
      </c>
      <c r="D71" t="s">
        <v>59</v>
      </c>
      <c r="E71" t="e" cm="1">
        <f t="array" ref="E71" ca="1">_xll.BDP(C71&amp;" Comdty","INT_RATE_FUT_START_DT")</f>
        <v>#NAME?</v>
      </c>
      <c r="F71" t="e" cm="1">
        <f t="array" ref="F71" ca="1">_xll.BDP(C71&amp;" Comdty","INT_RATE_FUT_END_DT")</f>
        <v>#NAME?</v>
      </c>
      <c r="G71" t="e" cm="1">
        <f t="array" ref="G71" ca="1">_xll.BDP(C71&amp;" Comdty","PX_LAST")</f>
        <v>#NAME?</v>
      </c>
      <c r="H71" t="e" cm="1">
        <f t="array" ref="H71" ca="1">_xll.BDP(_xll.BDP(C71&amp;" Comdty","FUT_CUR_GEN_TICKER")&amp;" Comdty","CONVEXITY_BIAS_BASIS_POINTS")</f>
        <v>#NAME?</v>
      </c>
      <c r="K71" t="s">
        <v>8</v>
      </c>
      <c r="L71" t="s">
        <v>319</v>
      </c>
      <c r="M71" t="s">
        <v>454</v>
      </c>
      <c r="N71" t="e" cm="1">
        <f t="array" ref="N71" ca="1">_xll.BDP(L71&amp;" Comdty","INT_RATE_FUT_START_DT")</f>
        <v>#NAME?</v>
      </c>
      <c r="O71" t="e" cm="1">
        <f t="array" ref="O71" ca="1">_xll.BDP(L71&amp;" Comdty","INT_RATE_FUT_END_DT")</f>
        <v>#NAME?</v>
      </c>
      <c r="P71" t="e" cm="1">
        <f t="array" ref="P71" ca="1">_xll.BDP(L71&amp;" Comdty","PX_LAST")</f>
        <v>#NAME?</v>
      </c>
      <c r="Q71" t="e" cm="1">
        <f t="array" ref="Q71" ca="1">_xll.BDP(_xll.BDP(L71&amp;" Comdty","FUT_CUR_GEN_TICKER")&amp;" Comdty","CONVEXITY_BIAS_BASIS_POINTS")</f>
        <v>#NAME?</v>
      </c>
    </row>
    <row r="72" spans="1:17" x14ac:dyDescent="0.25">
      <c r="K72" t="s">
        <v>8</v>
      </c>
      <c r="L72" t="s">
        <v>320</v>
      </c>
      <c r="M72" t="s">
        <v>454</v>
      </c>
      <c r="N72" t="e" cm="1">
        <f t="array" ref="N72" ca="1">_xll.BDP(L72&amp;" Comdty","INT_RATE_FUT_START_DT")</f>
        <v>#NAME?</v>
      </c>
      <c r="O72" t="e" cm="1">
        <f t="array" ref="O72" ca="1">_xll.BDP(L72&amp;" Comdty","INT_RATE_FUT_END_DT")</f>
        <v>#NAME?</v>
      </c>
      <c r="P72" t="e" cm="1">
        <f t="array" ref="P72" ca="1">_xll.BDP(L72&amp;" Comdty","PX_LAST")</f>
        <v>#NAME?</v>
      </c>
      <c r="Q72" t="e" cm="1">
        <f t="array" ref="Q72" ca="1">_xll.BDP(_xll.BDP(L72&amp;" Comdty","FUT_CUR_GEN_TICKER")&amp;" Comdty","CONVEXITY_BIAS_BASIS_POINTS")</f>
        <v>#NAME?</v>
      </c>
    </row>
    <row r="73" spans="1:17" x14ac:dyDescent="0.25">
      <c r="K73" t="s">
        <v>8</v>
      </c>
      <c r="L73" t="s">
        <v>321</v>
      </c>
      <c r="M73" t="s">
        <v>454</v>
      </c>
      <c r="N73" t="e" cm="1">
        <f t="array" ref="N73" ca="1">_xll.BDP(L73&amp;" Comdty","INT_RATE_FUT_START_DT")</f>
        <v>#NAME?</v>
      </c>
      <c r="O73" t="e" cm="1">
        <f t="array" ref="O73" ca="1">_xll.BDP(L73&amp;" Comdty","INT_RATE_FUT_END_DT")</f>
        <v>#NAME?</v>
      </c>
      <c r="P73" t="e" cm="1">
        <f t="array" ref="P73" ca="1">_xll.BDP(L73&amp;" Comdty","PX_LAST")</f>
        <v>#NAME?</v>
      </c>
      <c r="Q73" t="e" cm="1">
        <f t="array" ref="Q73" ca="1">_xll.BDP(_xll.BDP(L73&amp;" Comdty","FUT_CUR_GEN_TICKER")&amp;" Comdty","CONVEXITY_BIAS_BASIS_POINTS")</f>
        <v>#NAME?</v>
      </c>
    </row>
    <row r="74" spans="1:17" x14ac:dyDescent="0.25">
      <c r="K74" t="s">
        <v>8</v>
      </c>
      <c r="L74" t="s">
        <v>322</v>
      </c>
      <c r="M74" t="s">
        <v>454</v>
      </c>
      <c r="N74" t="e" cm="1">
        <f t="array" ref="N74" ca="1">_xll.BDP(L74&amp;" Comdty","INT_RATE_FUT_START_DT")</f>
        <v>#NAME?</v>
      </c>
      <c r="O74" t="e" cm="1">
        <f t="array" ref="O74" ca="1">_xll.BDP(L74&amp;" Comdty","INT_RATE_FUT_END_DT")</f>
        <v>#NAME?</v>
      </c>
      <c r="P74" t="e" cm="1">
        <f t="array" ref="P74" ca="1">_xll.BDP(L74&amp;" Comdty","PX_LAST")</f>
        <v>#NAME?</v>
      </c>
      <c r="Q74" t="e" cm="1">
        <f t="array" ref="Q74" ca="1">_xll.BDP(_xll.BDP(L74&amp;" Comdty","FUT_CUR_GEN_TICKER")&amp;" Comdty","CONVEXITY_BIAS_BASIS_POINTS")</f>
        <v>#NAME?</v>
      </c>
    </row>
    <row r="75" spans="1:17" x14ac:dyDescent="0.25">
      <c r="K75" t="s">
        <v>8</v>
      </c>
      <c r="L75" t="s">
        <v>323</v>
      </c>
      <c r="M75" t="s">
        <v>454</v>
      </c>
      <c r="N75" t="e" cm="1">
        <f t="array" ref="N75" ca="1">_xll.BDP(L75&amp;" Comdty","INT_RATE_FUT_START_DT")</f>
        <v>#NAME?</v>
      </c>
      <c r="O75" t="e" cm="1">
        <f t="array" ref="O75" ca="1">_xll.BDP(L75&amp;" Comdty","INT_RATE_FUT_END_DT")</f>
        <v>#NAME?</v>
      </c>
      <c r="P75" t="e" cm="1">
        <f t="array" ref="P75" ca="1">_xll.BDP(L75&amp;" Comdty","PX_LAST")</f>
        <v>#NAME?</v>
      </c>
      <c r="Q75" t="e" cm="1">
        <f t="array" ref="Q75" ca="1">_xll.BDP(_xll.BDP(L75&amp;" Comdty","FUT_CUR_GEN_TICKER")&amp;" Comdty","CONVEXITY_BIAS_BASIS_POINTS")</f>
        <v>#NAME?</v>
      </c>
    </row>
    <row r="78" spans="1:17" x14ac:dyDescent="0.25">
      <c r="A78" t="s">
        <v>91</v>
      </c>
      <c r="B78" t="s">
        <v>11</v>
      </c>
      <c r="C78" t="s">
        <v>84</v>
      </c>
      <c r="D78" t="e" cm="1">
        <f t="array" ref="D78" ca="1">_xll.BDP(C78&amp;" ICPL Curncy","NAME_RT")</f>
        <v>#NAME?</v>
      </c>
      <c r="E78" t="s">
        <v>30</v>
      </c>
      <c r="F78" t="e" cm="1">
        <f t="array" ref="F78" ca="1">_xll.BDP(C78&amp;" Comdty","Maturity_RT")</f>
        <v>#NAME?</v>
      </c>
      <c r="G78" t="e" cm="1">
        <f t="array" ref="G78" ca="1">_xll.BDP(C78&amp;" Comdty","PX_LAST")</f>
        <v>#NAME?</v>
      </c>
      <c r="J78" t="s">
        <v>91</v>
      </c>
      <c r="K78" t="s">
        <v>8</v>
      </c>
      <c r="L78" t="s">
        <v>428</v>
      </c>
      <c r="M78" t="e" cm="1">
        <f t="array" ref="M78" ca="1">_xll.BDP(L78&amp;" Curncy","NAME_RT")</f>
        <v>#NAME?</v>
      </c>
      <c r="N78" t="s">
        <v>30</v>
      </c>
      <c r="O78" t="e" cm="1">
        <f t="array" ref="O78" ca="1">_xll.BDP(L78&amp;" Comdty","Maturity_RT")</f>
        <v>#NAME?</v>
      </c>
      <c r="P78" t="e" cm="1">
        <f t="array" ref="P78" ca="1">_xll.BDP(L78&amp;" Comdty","PX_LAST")</f>
        <v>#NAME?</v>
      </c>
    </row>
    <row r="79" spans="1:17" x14ac:dyDescent="0.25">
      <c r="B79" t="s">
        <v>11</v>
      </c>
      <c r="C79" t="s">
        <v>85</v>
      </c>
      <c r="D79" t="e" cm="1">
        <f t="array" ref="D79" ca="1">_xll.BDP(C79&amp;" ICPL Curncy","NAME_RT")</f>
        <v>#NAME?</v>
      </c>
      <c r="E79" t="s">
        <v>30</v>
      </c>
      <c r="F79" t="e" cm="1">
        <f t="array" ref="F79" ca="1">_xll.BDP(C79&amp;" Comdty","Maturity_RT")</f>
        <v>#NAME?</v>
      </c>
      <c r="G79" t="e" cm="1">
        <f t="array" ref="G79" ca="1">_xll.BDP(C79&amp;" Comdty","PX_LAST")</f>
        <v>#NAME?</v>
      </c>
      <c r="K79" t="s">
        <v>8</v>
      </c>
      <c r="L79" t="s">
        <v>429</v>
      </c>
      <c r="M79" t="e" cm="1">
        <f t="array" ref="M79" ca="1">_xll.BDP(L79&amp;" Curncy","NAME_RT")</f>
        <v>#NAME?</v>
      </c>
      <c r="N79" t="s">
        <v>30</v>
      </c>
      <c r="O79" t="e" cm="1">
        <f t="array" ref="O79" ca="1">_xll.BDP(L79&amp;" Comdty","Maturity_RT")</f>
        <v>#NAME?</v>
      </c>
      <c r="P79" t="e" cm="1">
        <f t="array" ref="P79" ca="1">_xll.BDP(L79&amp;" Comdty","PX_LAST")</f>
        <v>#NAME?</v>
      </c>
    </row>
    <row r="80" spans="1:17" x14ac:dyDescent="0.25">
      <c r="B80" t="s">
        <v>11</v>
      </c>
      <c r="C80" t="s">
        <v>60</v>
      </c>
      <c r="D80" t="e" cm="1">
        <f t="array" ref="D80" ca="1">_xll.BDP(C80&amp;" ICPL Curncy","NAME_RT")</f>
        <v>#NAME?</v>
      </c>
      <c r="E80" t="s">
        <v>30</v>
      </c>
      <c r="F80" t="e" cm="1">
        <f t="array" ref="F80" ca="1">_xll.BDP(C80&amp;" Comdty","Maturity_RT")</f>
        <v>#NAME?</v>
      </c>
      <c r="G80" t="e" cm="1">
        <f t="array" ref="G80" ca="1">_xll.BDP(C80&amp;" Comdty","PX_LAST")</f>
        <v>#NAME?</v>
      </c>
      <c r="K80" t="s">
        <v>8</v>
      </c>
      <c r="L80" t="s">
        <v>430</v>
      </c>
      <c r="M80" t="e" cm="1">
        <f t="array" ref="M80" ca="1">_xll.BDP(L80&amp;" Curncy","NAME_RT")</f>
        <v>#NAME?</v>
      </c>
      <c r="N80" t="s">
        <v>30</v>
      </c>
      <c r="O80" t="e" cm="1">
        <f t="array" ref="O80" ca="1">_xll.BDP(L80&amp;" Comdty","Maturity_RT")</f>
        <v>#NAME?</v>
      </c>
      <c r="P80" t="e" cm="1">
        <f t="array" ref="P80" ca="1">_xll.BDP(L80&amp;" Comdty","PX_LAST")</f>
        <v>#NAME?</v>
      </c>
    </row>
    <row r="81" spans="2:16" x14ac:dyDescent="0.25">
      <c r="B81" t="s">
        <v>11</v>
      </c>
      <c r="C81" t="s">
        <v>61</v>
      </c>
      <c r="D81" t="e" cm="1">
        <f t="array" ref="D81" ca="1">_xll.BDP(C81&amp;" ICPL Curncy","NAME_RT")</f>
        <v>#NAME?</v>
      </c>
      <c r="E81" t="s">
        <v>30</v>
      </c>
      <c r="F81" t="e" cm="1">
        <f t="array" ref="F81" ca="1">_xll.BDP(C81&amp;" Comdty","Maturity_RT")</f>
        <v>#NAME?</v>
      </c>
      <c r="G81" t="e" cm="1">
        <f t="array" ref="G81" ca="1">_xll.BDP(C81&amp;" Comdty","PX_LAST")</f>
        <v>#NAME?</v>
      </c>
      <c r="K81" t="s">
        <v>8</v>
      </c>
      <c r="L81" t="s">
        <v>431</v>
      </c>
      <c r="M81" t="e" cm="1">
        <f t="array" ref="M81" ca="1">_xll.BDP(L81&amp;" Curncy","NAME_RT")</f>
        <v>#NAME?</v>
      </c>
      <c r="N81" t="s">
        <v>30</v>
      </c>
      <c r="O81" t="e" cm="1">
        <f t="array" ref="O81" ca="1">_xll.BDP(L81&amp;" Comdty","Maturity_RT")</f>
        <v>#NAME?</v>
      </c>
      <c r="P81" t="e" cm="1">
        <f t="array" ref="P81" ca="1">_xll.BDP(L81&amp;" Comdty","PX_LAST")</f>
        <v>#NAME?</v>
      </c>
    </row>
    <row r="82" spans="2:16" x14ac:dyDescent="0.25">
      <c r="B82" t="s">
        <v>11</v>
      </c>
      <c r="C82" t="s">
        <v>62</v>
      </c>
      <c r="D82" t="e" cm="1">
        <f t="array" ref="D82" ca="1">_xll.BDP(C82&amp;" ICPL Curncy","NAME_RT")</f>
        <v>#NAME?</v>
      </c>
      <c r="E82" t="s">
        <v>30</v>
      </c>
      <c r="F82" t="e" cm="1">
        <f t="array" ref="F82" ca="1">_xll.BDP(C82&amp;" Comdty","Maturity_RT")</f>
        <v>#NAME?</v>
      </c>
      <c r="G82" t="e" cm="1">
        <f t="array" ref="G82" ca="1">_xll.BDP(C82&amp;" Comdty","PX_LAST")</f>
        <v>#NAME?</v>
      </c>
      <c r="K82" t="s">
        <v>8</v>
      </c>
      <c r="L82" t="s">
        <v>432</v>
      </c>
      <c r="M82" t="e" cm="1">
        <f t="array" ref="M82" ca="1">_xll.BDP(L82&amp;" Curncy","NAME_RT")</f>
        <v>#NAME?</v>
      </c>
      <c r="N82" t="s">
        <v>30</v>
      </c>
      <c r="O82" t="e" cm="1">
        <f t="array" ref="O82" ca="1">_xll.BDP(L82&amp;" Comdty","Maturity_RT")</f>
        <v>#NAME?</v>
      </c>
      <c r="P82" t="e" cm="1">
        <f t="array" ref="P82" ca="1">_xll.BDP(L82&amp;" Comdty","PX_LAST")</f>
        <v>#NAME?</v>
      </c>
    </row>
    <row r="83" spans="2:16" x14ac:dyDescent="0.25">
      <c r="B83" t="s">
        <v>11</v>
      </c>
      <c r="C83" t="s">
        <v>63</v>
      </c>
      <c r="D83" t="e" cm="1">
        <f t="array" ref="D83" ca="1">_xll.BDP(C83&amp;" ICPL Curncy","NAME_RT")</f>
        <v>#NAME?</v>
      </c>
      <c r="E83" t="s">
        <v>30</v>
      </c>
      <c r="F83" t="e" cm="1">
        <f t="array" ref="F83" ca="1">_xll.BDP(C83&amp;" Comdty","Maturity_RT")</f>
        <v>#NAME?</v>
      </c>
      <c r="G83" t="e" cm="1">
        <f t="array" ref="G83" ca="1">_xll.BDP(C83&amp;" Comdty","PX_LAST")</f>
        <v>#NAME?</v>
      </c>
      <c r="K83" t="s">
        <v>8</v>
      </c>
      <c r="L83" t="s">
        <v>433</v>
      </c>
      <c r="M83" t="e" cm="1">
        <f t="array" ref="M83" ca="1">_xll.BDP(L83&amp;" Curncy","NAME_RT")</f>
        <v>#NAME?</v>
      </c>
      <c r="N83" t="s">
        <v>30</v>
      </c>
      <c r="O83" t="e" cm="1">
        <f t="array" ref="O83" ca="1">_xll.BDP(L83&amp;" Comdty","Maturity_RT")</f>
        <v>#NAME?</v>
      </c>
      <c r="P83" t="e" cm="1">
        <f t="array" ref="P83" ca="1">_xll.BDP(L83&amp;" Comdty","PX_LAST")</f>
        <v>#NAME?</v>
      </c>
    </row>
    <row r="84" spans="2:16" x14ac:dyDescent="0.25">
      <c r="B84" t="s">
        <v>11</v>
      </c>
      <c r="C84" t="s">
        <v>64</v>
      </c>
      <c r="D84" t="e" cm="1">
        <f t="array" ref="D84" ca="1">_xll.BDP(C84&amp;" ICPL Curncy","NAME_RT")</f>
        <v>#NAME?</v>
      </c>
      <c r="E84" t="s">
        <v>30</v>
      </c>
      <c r="F84" t="e" cm="1">
        <f t="array" ref="F84" ca="1">_xll.BDP(C84&amp;" Comdty","Maturity_RT")</f>
        <v>#NAME?</v>
      </c>
      <c r="G84" t="e" cm="1">
        <f t="array" ref="G84" ca="1">_xll.BDP(C84&amp;" Comdty","PX_LAST")</f>
        <v>#NAME?</v>
      </c>
      <c r="K84" t="s">
        <v>8</v>
      </c>
      <c r="L84" t="s">
        <v>434</v>
      </c>
      <c r="M84" t="e" cm="1">
        <f t="array" ref="M84" ca="1">_xll.BDP(L84&amp;" Curncy","NAME_RT")</f>
        <v>#NAME?</v>
      </c>
      <c r="N84" t="s">
        <v>30</v>
      </c>
      <c r="O84" t="e" cm="1">
        <f t="array" ref="O84" ca="1">_xll.BDP(L84&amp;" Comdty","Maturity_RT")</f>
        <v>#NAME?</v>
      </c>
      <c r="P84" t="e" cm="1">
        <f t="array" ref="P84" ca="1">_xll.BDP(L84&amp;" Comdty","PX_LAST")</f>
        <v>#NAME?</v>
      </c>
    </row>
    <row r="85" spans="2:16" x14ac:dyDescent="0.25">
      <c r="B85" t="s">
        <v>11</v>
      </c>
      <c r="C85" t="s">
        <v>65</v>
      </c>
      <c r="D85" t="e" cm="1">
        <f t="array" ref="D85" ca="1">_xll.BDP(C85&amp;" ICPL Curncy","NAME_RT")</f>
        <v>#NAME?</v>
      </c>
      <c r="E85" t="s">
        <v>30</v>
      </c>
      <c r="F85" t="e" cm="1">
        <f t="array" ref="F85" ca="1">_xll.BDP(C85&amp;" Comdty","Maturity_RT")</f>
        <v>#NAME?</v>
      </c>
      <c r="G85" t="e" cm="1">
        <f t="array" ref="G85" ca="1">_xll.BDP(C85&amp;" Comdty","PX_LAST")</f>
        <v>#NAME?</v>
      </c>
      <c r="K85" t="s">
        <v>8</v>
      </c>
      <c r="L85" t="s">
        <v>435</v>
      </c>
      <c r="M85" t="e" cm="1">
        <f t="array" ref="M85" ca="1">_xll.BDP(L85&amp;" Curncy","NAME_RT")</f>
        <v>#NAME?</v>
      </c>
      <c r="N85" t="s">
        <v>30</v>
      </c>
      <c r="O85" t="e" cm="1">
        <f t="array" ref="O85" ca="1">_xll.BDP(L85&amp;" Comdty","Maturity_RT")</f>
        <v>#NAME?</v>
      </c>
      <c r="P85" t="e" cm="1">
        <f t="array" ref="P85" ca="1">_xll.BDP(L85&amp;" Comdty","PX_LAST")</f>
        <v>#NAME?</v>
      </c>
    </row>
    <row r="86" spans="2:16" x14ac:dyDescent="0.25">
      <c r="B86" t="s">
        <v>11</v>
      </c>
      <c r="C86" t="s">
        <v>66</v>
      </c>
      <c r="D86" t="e" cm="1">
        <f t="array" ref="D86" ca="1">_xll.BDP(C86&amp;" ICPL Curncy","NAME_RT")</f>
        <v>#NAME?</v>
      </c>
      <c r="E86" t="s">
        <v>30</v>
      </c>
      <c r="F86" t="e" cm="1">
        <f t="array" ref="F86" ca="1">_xll.BDP(C86&amp;" Comdty","Maturity_RT")</f>
        <v>#NAME?</v>
      </c>
      <c r="G86" t="e" cm="1">
        <f t="array" ref="G86" ca="1">_xll.BDP(C86&amp;" Comdty","PX_LAST")</f>
        <v>#NAME?</v>
      </c>
      <c r="K86" t="s">
        <v>8</v>
      </c>
      <c r="L86" t="s">
        <v>436</v>
      </c>
      <c r="M86" t="e" cm="1">
        <f t="array" ref="M86" ca="1">_xll.BDP(L86&amp;" Curncy","NAME_RT")</f>
        <v>#NAME?</v>
      </c>
      <c r="N86" t="s">
        <v>30</v>
      </c>
      <c r="O86" t="e" cm="1">
        <f t="array" ref="O86" ca="1">_xll.BDP(L86&amp;" Comdty","Maturity_RT")</f>
        <v>#NAME?</v>
      </c>
      <c r="P86" t="e" cm="1">
        <f t="array" ref="P86" ca="1">_xll.BDP(L86&amp;" Comdty","PX_LAST")</f>
        <v>#NAME?</v>
      </c>
    </row>
    <row r="87" spans="2:16" x14ac:dyDescent="0.25">
      <c r="B87" t="s">
        <v>11</v>
      </c>
      <c r="C87" t="s">
        <v>67</v>
      </c>
      <c r="D87" t="e" cm="1">
        <f t="array" ref="D87" ca="1">_xll.BDP(C87&amp;" ICPL Curncy","NAME_RT")</f>
        <v>#NAME?</v>
      </c>
      <c r="E87" t="s">
        <v>30</v>
      </c>
      <c r="F87" t="e" cm="1">
        <f t="array" ref="F87" ca="1">_xll.BDP(C87&amp;" Comdty","Maturity_RT")</f>
        <v>#NAME?</v>
      </c>
      <c r="G87" t="e" cm="1">
        <f t="array" ref="G87" ca="1">_xll.BDP(C87&amp;" Comdty","PX_LAST")</f>
        <v>#NAME?</v>
      </c>
      <c r="K87" t="s">
        <v>8</v>
      </c>
      <c r="L87" t="s">
        <v>437</v>
      </c>
      <c r="M87" t="e" cm="1">
        <f t="array" ref="M87" ca="1">_xll.BDP(L87&amp;" Curncy","NAME_RT")</f>
        <v>#NAME?</v>
      </c>
      <c r="N87" t="s">
        <v>30</v>
      </c>
      <c r="O87" t="e" cm="1">
        <f t="array" ref="O87" ca="1">_xll.BDP(L87&amp;" Comdty","Maturity_RT")</f>
        <v>#NAME?</v>
      </c>
      <c r="P87" t="e" cm="1">
        <f t="array" ref="P87" ca="1">_xll.BDP(L87&amp;" Comdty","PX_LAST")</f>
        <v>#NAME?</v>
      </c>
    </row>
    <row r="88" spans="2:16" x14ac:dyDescent="0.25">
      <c r="B88" t="s">
        <v>11</v>
      </c>
      <c r="C88" t="s">
        <v>68</v>
      </c>
      <c r="D88" t="e" cm="1">
        <f t="array" ref="D88" ca="1">_xll.BDP(C88&amp;" ICPL Curncy","NAME_RT")</f>
        <v>#NAME?</v>
      </c>
      <c r="E88" t="s">
        <v>30</v>
      </c>
      <c r="F88" t="e" cm="1">
        <f t="array" ref="F88" ca="1">_xll.BDP(C88&amp;" Comdty","Maturity_RT")</f>
        <v>#NAME?</v>
      </c>
      <c r="G88" t="e" cm="1">
        <f t="array" ref="G88" ca="1">_xll.BDP(C88&amp;" Comdty","PX_LAST")</f>
        <v>#NAME?</v>
      </c>
      <c r="K88" t="s">
        <v>8</v>
      </c>
      <c r="L88" t="s">
        <v>438</v>
      </c>
      <c r="M88" t="e" cm="1">
        <f t="array" ref="M88" ca="1">_xll.BDP(L88&amp;" Curncy","NAME_RT")</f>
        <v>#NAME?</v>
      </c>
      <c r="N88" t="s">
        <v>30</v>
      </c>
      <c r="O88" t="e" cm="1">
        <f t="array" ref="O88" ca="1">_xll.BDP(L88&amp;" Comdty","Maturity_RT")</f>
        <v>#NAME?</v>
      </c>
      <c r="P88" t="e" cm="1">
        <f t="array" ref="P88" ca="1">_xll.BDP(L88&amp;" Comdty","PX_LAST")</f>
        <v>#NAME?</v>
      </c>
    </row>
    <row r="89" spans="2:16" x14ac:dyDescent="0.25">
      <c r="B89" t="s">
        <v>11</v>
      </c>
      <c r="C89" t="s">
        <v>69</v>
      </c>
      <c r="D89" t="e" cm="1">
        <f t="array" ref="D89" ca="1">_xll.BDP(C89&amp;" ICPL Curncy","NAME_RT")</f>
        <v>#NAME?</v>
      </c>
      <c r="E89" t="s">
        <v>30</v>
      </c>
      <c r="F89" t="e" cm="1">
        <f t="array" ref="F89" ca="1">_xll.BDP(C89&amp;" Comdty","Maturity_RT")</f>
        <v>#NAME?</v>
      </c>
      <c r="G89" t="e" cm="1">
        <f t="array" ref="G89" ca="1">_xll.BDP(C89&amp;" Comdty","PX_LAST")</f>
        <v>#NAME?</v>
      </c>
      <c r="K89" t="s">
        <v>8</v>
      </c>
      <c r="L89" t="s">
        <v>439</v>
      </c>
      <c r="M89" t="e" cm="1">
        <f t="array" ref="M89" ca="1">_xll.BDP(L89&amp;" Curncy","NAME_RT")</f>
        <v>#NAME?</v>
      </c>
      <c r="N89" t="s">
        <v>30</v>
      </c>
      <c r="O89" t="e" cm="1">
        <f t="array" ref="O89" ca="1">_xll.BDP(L89&amp;" Comdty","Maturity_RT")</f>
        <v>#NAME?</v>
      </c>
      <c r="P89" t="e" cm="1">
        <f t="array" ref="P89" ca="1">_xll.BDP(L89&amp;" Comdty","PX_LAST")</f>
        <v>#NAME?</v>
      </c>
    </row>
    <row r="90" spans="2:16" x14ac:dyDescent="0.25">
      <c r="B90" t="s">
        <v>11</v>
      </c>
      <c r="C90" t="s">
        <v>70</v>
      </c>
      <c r="D90" t="e" cm="1">
        <f t="array" ref="D90" ca="1">_xll.BDP(C90&amp;" ICPL Curncy","NAME_RT")</f>
        <v>#NAME?</v>
      </c>
      <c r="E90" t="s">
        <v>30</v>
      </c>
      <c r="F90" t="e" cm="1">
        <f t="array" ref="F90" ca="1">_xll.BDP(C90&amp;" Comdty","Maturity_RT")</f>
        <v>#NAME?</v>
      </c>
      <c r="G90" t="e" cm="1">
        <f t="array" ref="G90" ca="1">_xll.BDP(C90&amp;" Comdty","PX_LAST")</f>
        <v>#NAME?</v>
      </c>
      <c r="K90" t="s">
        <v>8</v>
      </c>
      <c r="L90" t="s">
        <v>440</v>
      </c>
      <c r="M90" t="e" cm="1">
        <f t="array" ref="M90" ca="1">_xll.BDP(L90&amp;" Curncy","NAME_RT")</f>
        <v>#NAME?</v>
      </c>
      <c r="N90" t="s">
        <v>30</v>
      </c>
      <c r="O90" t="e" cm="1">
        <f t="array" ref="O90" ca="1">_xll.BDP(L90&amp;" Comdty","Maturity_RT")</f>
        <v>#NAME?</v>
      </c>
      <c r="P90" t="e" cm="1">
        <f t="array" ref="P90" ca="1">_xll.BDP(L90&amp;" Comdty","PX_LAST")</f>
        <v>#NAME?</v>
      </c>
    </row>
    <row r="91" spans="2:16" x14ac:dyDescent="0.25">
      <c r="B91" t="s">
        <v>11</v>
      </c>
      <c r="C91" t="s">
        <v>71</v>
      </c>
      <c r="D91" t="e" cm="1">
        <f t="array" ref="D91" ca="1">_xll.BDP(C91&amp;" ICPL Curncy","NAME_RT")</f>
        <v>#NAME?</v>
      </c>
      <c r="E91" t="s">
        <v>30</v>
      </c>
      <c r="F91" t="e" cm="1">
        <f t="array" ref="F91" ca="1">_xll.BDP(C91&amp;" Comdty","Maturity_RT")</f>
        <v>#NAME?</v>
      </c>
      <c r="G91" t="e" cm="1">
        <f t="array" ref="G91" ca="1">_xll.BDP(C91&amp;" Comdty","PX_LAST")</f>
        <v>#NAME?</v>
      </c>
      <c r="K91" t="s">
        <v>8</v>
      </c>
      <c r="L91" t="s">
        <v>441</v>
      </c>
      <c r="M91" t="e" cm="1">
        <f t="array" ref="M91" ca="1">_xll.BDP(L91&amp;" Curncy","NAME_RT")</f>
        <v>#NAME?</v>
      </c>
      <c r="N91" t="s">
        <v>30</v>
      </c>
      <c r="O91" t="e" cm="1">
        <f t="array" ref="O91" ca="1">_xll.BDP(L91&amp;" Comdty","Maturity_RT")</f>
        <v>#NAME?</v>
      </c>
      <c r="P91" t="e" cm="1">
        <f t="array" ref="P91" ca="1">_xll.BDP(L91&amp;" Comdty","PX_LAST")</f>
        <v>#NAME?</v>
      </c>
    </row>
    <row r="92" spans="2:16" x14ac:dyDescent="0.25">
      <c r="B92" t="s">
        <v>11</v>
      </c>
      <c r="C92" t="s">
        <v>72</v>
      </c>
      <c r="D92" t="e" cm="1">
        <f t="array" ref="D92" ca="1">_xll.BDP(C92&amp;" ICPL Curncy","NAME_RT")</f>
        <v>#NAME?</v>
      </c>
      <c r="E92" t="s">
        <v>30</v>
      </c>
      <c r="F92" t="e" cm="1">
        <f t="array" ref="F92" ca="1">_xll.BDP(C92&amp;" Comdty","Maturity_RT")</f>
        <v>#NAME?</v>
      </c>
      <c r="G92" t="e" cm="1">
        <f t="array" ref="G92" ca="1">_xll.BDP(C92&amp;" Comdty","PX_LAST")</f>
        <v>#NAME?</v>
      </c>
      <c r="K92" t="s">
        <v>8</v>
      </c>
      <c r="L92" t="s">
        <v>442</v>
      </c>
      <c r="M92" t="e" cm="1">
        <f t="array" ref="M92" ca="1">_xll.BDP(L92&amp;" Curncy","NAME_RT")</f>
        <v>#NAME?</v>
      </c>
      <c r="N92" t="s">
        <v>30</v>
      </c>
      <c r="O92" t="e" cm="1">
        <f t="array" ref="O92" ca="1">_xll.BDP(L92&amp;" Comdty","Maturity_RT")</f>
        <v>#NAME?</v>
      </c>
      <c r="P92" t="e" cm="1">
        <f t="array" ref="P92" ca="1">_xll.BDP(L92&amp;" Comdty","PX_LAST")</f>
        <v>#NAME?</v>
      </c>
    </row>
    <row r="93" spans="2:16" x14ac:dyDescent="0.25">
      <c r="B93" t="s">
        <v>11</v>
      </c>
      <c r="C93" t="s">
        <v>73</v>
      </c>
      <c r="D93" t="e" cm="1">
        <f t="array" ref="D93" ca="1">_xll.BDP(C93&amp;" ICPL Curncy","NAME_RT")</f>
        <v>#NAME?</v>
      </c>
      <c r="E93" t="s">
        <v>30</v>
      </c>
      <c r="F93" t="e" cm="1">
        <f t="array" ref="F93" ca="1">_xll.BDP(C93&amp;" Comdty","Maturity_RT")</f>
        <v>#NAME?</v>
      </c>
      <c r="G93" t="e" cm="1">
        <f t="array" ref="G93" ca="1">_xll.BDP(C93&amp;" Comdty","PX_LAST")</f>
        <v>#NAME?</v>
      </c>
      <c r="K93" t="s">
        <v>8</v>
      </c>
      <c r="L93" t="s">
        <v>443</v>
      </c>
      <c r="M93" t="e" cm="1">
        <f t="array" ref="M93" ca="1">_xll.BDP(L93&amp;" Curncy","NAME_RT")</f>
        <v>#NAME?</v>
      </c>
      <c r="N93" t="s">
        <v>30</v>
      </c>
      <c r="O93" t="e" cm="1">
        <f t="array" ref="O93" ca="1">_xll.BDP(L93&amp;" Comdty","Maturity_RT")</f>
        <v>#NAME?</v>
      </c>
      <c r="P93" t="e" cm="1">
        <f t="array" ref="P93" ca="1">_xll.BDP(L93&amp;" Comdty","PX_LAST")</f>
        <v>#NAME?</v>
      </c>
    </row>
    <row r="94" spans="2:16" x14ac:dyDescent="0.25">
      <c r="B94" t="s">
        <v>11</v>
      </c>
      <c r="C94" t="s">
        <v>74</v>
      </c>
      <c r="D94" t="e" cm="1">
        <f t="array" ref="D94" ca="1">_xll.BDP(C94&amp;" ICPL Curncy","NAME_RT")</f>
        <v>#NAME?</v>
      </c>
      <c r="E94" t="s">
        <v>30</v>
      </c>
      <c r="F94" t="e" cm="1">
        <f t="array" ref="F94" ca="1">_xll.BDP(C94&amp;" Comdty","Maturity_RT")</f>
        <v>#NAME?</v>
      </c>
      <c r="G94" t="e" cm="1">
        <f t="array" ref="G94" ca="1">_xll.BDP(C94&amp;" Comdty","PX_LAST")</f>
        <v>#NAME?</v>
      </c>
      <c r="K94" t="s">
        <v>8</v>
      </c>
      <c r="L94" t="s">
        <v>444</v>
      </c>
      <c r="M94" t="e" cm="1">
        <f t="array" ref="M94" ca="1">_xll.BDP(L94&amp;" Curncy","NAME_RT")</f>
        <v>#NAME?</v>
      </c>
      <c r="N94" t="s">
        <v>30</v>
      </c>
      <c r="O94" t="e" cm="1">
        <f t="array" ref="O94" ca="1">_xll.BDP(L94&amp;" Comdty","Maturity_RT")</f>
        <v>#NAME?</v>
      </c>
      <c r="P94" t="e" cm="1">
        <f t="array" ref="P94" ca="1">_xll.BDP(L94&amp;" Comdty","PX_LAST")</f>
        <v>#NAME?</v>
      </c>
    </row>
    <row r="95" spans="2:16" x14ac:dyDescent="0.25">
      <c r="B95" t="s">
        <v>11</v>
      </c>
      <c r="C95" t="s">
        <v>75</v>
      </c>
      <c r="D95" t="e" cm="1">
        <f t="array" ref="D95" ca="1">_xll.BDP(C95&amp;" ICPL Curncy","NAME_RT")</f>
        <v>#NAME?</v>
      </c>
      <c r="E95" t="s">
        <v>30</v>
      </c>
      <c r="F95" t="e" cm="1">
        <f t="array" ref="F95" ca="1">_xll.BDP(C95&amp;" Comdty","Maturity_RT")</f>
        <v>#NAME?</v>
      </c>
      <c r="G95" t="e" cm="1">
        <f t="array" ref="G95" ca="1">_xll.BDP(C95&amp;" Comdty","PX_LAST")</f>
        <v>#NAME?</v>
      </c>
      <c r="K95" t="s">
        <v>8</v>
      </c>
      <c r="L95" t="s">
        <v>445</v>
      </c>
      <c r="M95" t="e" cm="1">
        <f t="array" ref="M95" ca="1">_xll.BDP(L95&amp;" Curncy","NAME_RT")</f>
        <v>#NAME?</v>
      </c>
      <c r="N95" t="s">
        <v>30</v>
      </c>
      <c r="O95" t="e" cm="1">
        <f t="array" ref="O95" ca="1">_xll.BDP(L95&amp;" Comdty","Maturity_RT")</f>
        <v>#NAME?</v>
      </c>
      <c r="P95" t="e" cm="1">
        <f t="array" ref="P95" ca="1">_xll.BDP(L95&amp;" Comdty","PX_LAST")</f>
        <v>#NAME?</v>
      </c>
    </row>
    <row r="96" spans="2:16" x14ac:dyDescent="0.25">
      <c r="B96" t="s">
        <v>11</v>
      </c>
      <c r="C96" t="s">
        <v>76</v>
      </c>
      <c r="D96" t="e" cm="1">
        <f t="array" ref="D96" ca="1">_xll.BDP(C96&amp;" ICPL Curncy","NAME_RT")</f>
        <v>#NAME?</v>
      </c>
      <c r="E96" t="s">
        <v>30</v>
      </c>
      <c r="F96" t="e" cm="1">
        <f t="array" ref="F96" ca="1">_xll.BDP(C96&amp;" Comdty","Maturity_RT")</f>
        <v>#NAME?</v>
      </c>
      <c r="G96" t="e" cm="1">
        <f t="array" ref="G96" ca="1">_xll.BDP(C96&amp;" Comdty","PX_LAST")</f>
        <v>#NAME?</v>
      </c>
      <c r="K96" t="s">
        <v>8</v>
      </c>
      <c r="L96" t="s">
        <v>446</v>
      </c>
      <c r="M96" t="e" cm="1">
        <f t="array" ref="M96" ca="1">_xll.BDP(L96&amp;" Curncy","NAME_RT")</f>
        <v>#NAME?</v>
      </c>
      <c r="N96" t="s">
        <v>30</v>
      </c>
      <c r="O96" t="e" cm="1">
        <f t="array" ref="O96" ca="1">_xll.BDP(L96&amp;" Comdty","Maturity_RT")</f>
        <v>#NAME?</v>
      </c>
      <c r="P96" t="e" cm="1">
        <f t="array" ref="P96" ca="1">_xll.BDP(L96&amp;" Comdty","PX_LAST")</f>
        <v>#NAME?</v>
      </c>
    </row>
    <row r="97" spans="1:16" x14ac:dyDescent="0.25">
      <c r="B97" t="s">
        <v>11</v>
      </c>
      <c r="C97" t="s">
        <v>77</v>
      </c>
      <c r="D97" t="e" cm="1">
        <f t="array" ref="D97" ca="1">_xll.BDP(C97&amp;" ICPL Curncy","NAME_RT")</f>
        <v>#NAME?</v>
      </c>
      <c r="E97" t="s">
        <v>30</v>
      </c>
      <c r="F97" t="e" cm="1">
        <f t="array" ref="F97" ca="1">_xll.BDP(C97&amp;" Comdty","Maturity_RT")</f>
        <v>#NAME?</v>
      </c>
      <c r="G97" t="e" cm="1">
        <f t="array" ref="G97" ca="1">_xll.BDP(C97&amp;" Comdty","PX_LAST")</f>
        <v>#NAME?</v>
      </c>
      <c r="K97" t="s">
        <v>8</v>
      </c>
      <c r="L97" t="s">
        <v>447</v>
      </c>
      <c r="M97" t="e" cm="1">
        <f t="array" ref="M97" ca="1">_xll.BDP(L97&amp;" Curncy","NAME_RT")</f>
        <v>#NAME?</v>
      </c>
      <c r="N97" t="s">
        <v>30</v>
      </c>
      <c r="O97" t="e" cm="1">
        <f t="array" ref="O97" ca="1">_xll.BDP(L97&amp;" Comdty","Maturity_RT")</f>
        <v>#NAME?</v>
      </c>
      <c r="P97" t="e" cm="1">
        <f t="array" ref="P97" ca="1">_xll.BDP(L97&amp;" Comdty","PX_LAST")</f>
        <v>#NAME?</v>
      </c>
    </row>
    <row r="99" spans="1:16" x14ac:dyDescent="0.25">
      <c r="A99" t="s">
        <v>94</v>
      </c>
      <c r="B99" t="s">
        <v>326</v>
      </c>
      <c r="C99" t="s">
        <v>327</v>
      </c>
      <c r="D99" t="e" cm="1">
        <f t="array" ref="D99" ca="1">_xll.BDP(C99&amp;" Index","NAME")</f>
        <v>#NAME?</v>
      </c>
      <c r="E99" t="s">
        <v>30</v>
      </c>
      <c r="F99" t="s">
        <v>3</v>
      </c>
      <c r="G99" t="e" cm="1">
        <f t="array" ref="G99" ca="1">_xll.BDP(C99&amp;" Curncy","PX_LAST")</f>
        <v>#NAME?</v>
      </c>
      <c r="J99" t="s">
        <v>94</v>
      </c>
      <c r="K99" t="s">
        <v>325</v>
      </c>
      <c r="L99" t="s">
        <v>448</v>
      </c>
      <c r="M99" t="e" cm="1">
        <f t="array" ref="M99" ca="1">_xll.BDP(L99&amp;" Curncy","NAME")</f>
        <v>#NAME?</v>
      </c>
      <c r="N99" t="s">
        <v>30</v>
      </c>
      <c r="O99" t="s">
        <v>3</v>
      </c>
      <c r="P99" t="e" cm="1">
        <f t="array" ref="P99" ca="1">_xll.BDP(L99&amp;" Curncy","PX_LAST")</f>
        <v>#NAME?</v>
      </c>
    </row>
    <row r="100" spans="1:16" x14ac:dyDescent="0.25">
      <c r="B100" t="s">
        <v>0</v>
      </c>
      <c r="C100" t="s">
        <v>0</v>
      </c>
      <c r="D100" t="e" cm="1">
        <f t="array" ref="D100" ca="1">_xll.BDP(C100&amp;" Curncy","NAME")</f>
        <v>#NAME?</v>
      </c>
      <c r="E100" t="s">
        <v>30</v>
      </c>
      <c r="F100" t="s">
        <v>3</v>
      </c>
      <c r="G100" t="e" cm="1">
        <f t="array" ref="G100" ca="1">_xll.BDP(C100&amp;" Curncy","PX_LAST")</f>
        <v>#NAME?</v>
      </c>
      <c r="K100" t="s">
        <v>324</v>
      </c>
      <c r="L100" t="s">
        <v>449</v>
      </c>
      <c r="M100" t="e" cm="1">
        <f t="array" ref="M100" ca="1">_xll.BDP(L100&amp;" Curncy","NAME")</f>
        <v>#NAME?</v>
      </c>
      <c r="N100" t="s">
        <v>30</v>
      </c>
      <c r="O100" t="s">
        <v>3</v>
      </c>
      <c r="P100" t="e" cm="1">
        <f t="array" ref="P100" ca="1">_xll.BDP(L100&amp;" Curncy","PX_LAST")</f>
        <v>#NAME?</v>
      </c>
    </row>
    <row r="101" spans="1:16" x14ac:dyDescent="0.25">
      <c r="B101" t="s">
        <v>1</v>
      </c>
      <c r="C101" t="s">
        <v>79</v>
      </c>
      <c r="D101" t="e" cm="1">
        <f t="array" ref="D101" ca="1">_xll.BDP(C101&amp;" Curncy","NAME")</f>
        <v>#NAME?</v>
      </c>
      <c r="E101" t="s">
        <v>30</v>
      </c>
      <c r="F101" t="s">
        <v>1</v>
      </c>
      <c r="G101" t="e" cm="1">
        <f t="array" ref="G101" ca="1">_xll.BDP(C101&amp;" Curncy","PX_LAST")</f>
        <v>#NAME?</v>
      </c>
      <c r="K101" t="s">
        <v>1</v>
      </c>
      <c r="L101" t="s">
        <v>450</v>
      </c>
      <c r="M101" t="e" cm="1">
        <f t="array" ref="M101" ca="1">_xll.BDP(L101&amp;" Curncy","NAME")</f>
        <v>#NAME?</v>
      </c>
      <c r="N101" t="s">
        <v>30</v>
      </c>
      <c r="O101" t="s">
        <v>1</v>
      </c>
      <c r="P101" t="e" cm="1">
        <f t="array" ref="P101" ca="1">_xll.BDP(L101&amp;" Curncy","PX_LAST")</f>
        <v>#NAME?</v>
      </c>
    </row>
    <row r="102" spans="1:16" x14ac:dyDescent="0.25">
      <c r="B102" t="s">
        <v>8</v>
      </c>
      <c r="C102" t="s">
        <v>80</v>
      </c>
      <c r="D102" t="e" cm="1">
        <f t="array" ref="D102" ca="1">_xll.BDP(C102&amp;" Curncy","NAME")</f>
        <v>#NAME?</v>
      </c>
      <c r="E102" t="s">
        <v>30</v>
      </c>
      <c r="F102" t="s">
        <v>8</v>
      </c>
      <c r="G102" t="e" cm="1">
        <f t="array" ref="G102" ca="1">_xll.BDP(C102&amp;" Curncy","PX_LAST")</f>
        <v>#NAME?</v>
      </c>
      <c r="K102" t="s">
        <v>8</v>
      </c>
      <c r="L102" t="s">
        <v>451</v>
      </c>
      <c r="M102" t="e" cm="1">
        <f t="array" ref="M102" ca="1">_xll.BDP(L102&amp;" Curncy","NAME")</f>
        <v>#NAME?</v>
      </c>
      <c r="N102" t="s">
        <v>30</v>
      </c>
      <c r="O102" t="s">
        <v>8</v>
      </c>
      <c r="P102" t="e" cm="1">
        <f t="array" ref="P102" ca="1">_xll.BDP(L102&amp;" Curncy","PX_LAST")</f>
        <v>#NAME?</v>
      </c>
    </row>
    <row r="103" spans="1:16" x14ac:dyDescent="0.25">
      <c r="B103" t="s">
        <v>11</v>
      </c>
      <c r="C103" t="s">
        <v>81</v>
      </c>
      <c r="D103" t="e" cm="1">
        <f t="array" ref="D103" ca="1">_xll.BDP(C103&amp;" Curncy","NAME")</f>
        <v>#NAME?</v>
      </c>
      <c r="E103" t="s">
        <v>30</v>
      </c>
      <c r="F103" t="s">
        <v>11</v>
      </c>
      <c r="G103" t="e" cm="1">
        <f t="array" ref="G103" ca="1">_xll.BDP(C103&amp;" Curncy","PX_LAST")</f>
        <v>#NAME?</v>
      </c>
      <c r="K103" t="s">
        <v>11</v>
      </c>
      <c r="L103" t="s">
        <v>452</v>
      </c>
      <c r="M103" t="e" cm="1">
        <f t="array" ref="M103" ca="1">_xll.BDP(L103&amp;" Curncy","NAME")</f>
        <v>#NAME?</v>
      </c>
      <c r="N103" t="s">
        <v>30</v>
      </c>
      <c r="O103" t="s">
        <v>11</v>
      </c>
      <c r="P103" t="e" cm="1">
        <f t="array" ref="P103" ca="1">_xll.BDP(L103&amp;" Curncy","PX_LAST")</f>
        <v>#NAME?</v>
      </c>
    </row>
    <row r="104" spans="1:16" x14ac:dyDescent="0.25">
      <c r="B104" t="s">
        <v>78</v>
      </c>
      <c r="C104" t="s">
        <v>82</v>
      </c>
      <c r="D104" t="e" cm="1">
        <f t="array" ref="D104" ca="1">_xll.BDP(C104&amp;" Curncy","NAME")</f>
        <v>#NAME?</v>
      </c>
      <c r="E104" t="s">
        <v>30</v>
      </c>
      <c r="F104" t="s">
        <v>78</v>
      </c>
      <c r="G104" t="e" cm="1">
        <f t="array" ref="G104" ca="1">_xll.BDP(C104&amp;" Curncy","PX_LAST")</f>
        <v>#NAME?</v>
      </c>
      <c r="K104" t="s">
        <v>78</v>
      </c>
      <c r="L104" t="s">
        <v>453</v>
      </c>
      <c r="M104" t="e" cm="1">
        <f t="array" ref="M104" ca="1">_xll.BDP(L104&amp;" Curncy","NAME")</f>
        <v>#NAME?</v>
      </c>
      <c r="N104" t="s">
        <v>30</v>
      </c>
      <c r="O104" t="s">
        <v>78</v>
      </c>
      <c r="P104" t="e" cm="1">
        <f t="array" ref="P104" ca="1">_xll.BDP(L104&amp;" Curncy","PX_LAST")</f>
        <v>#NAME?</v>
      </c>
    </row>
    <row r="106" spans="1:16" x14ac:dyDescent="0.25">
      <c r="A106" t="s">
        <v>398</v>
      </c>
      <c r="B106" t="s">
        <v>32</v>
      </c>
      <c r="C106" t="s">
        <v>386</v>
      </c>
      <c r="D106" t="e" cm="1">
        <f t="array" ref="D106" ca="1">_xll.BDP(C106&amp;" Curncy","NAME")</f>
        <v>#NAME?</v>
      </c>
      <c r="E106" t="e">
        <f ca="1">E60</f>
        <v>#NAME?</v>
      </c>
      <c r="F106" t="e">
        <f ca="1">F60</f>
        <v>#NAME?</v>
      </c>
      <c r="G106" t="e" cm="1">
        <f t="array" ref="G106" ca="1">_xll.BDP(C106&amp;" Curncy","PX_LAST")</f>
        <v>#NAME?</v>
      </c>
      <c r="J106" t="s">
        <v>398</v>
      </c>
      <c r="K106" t="s">
        <v>32</v>
      </c>
      <c r="L106" t="s">
        <v>399</v>
      </c>
      <c r="M106" t="e" cm="1">
        <f t="array" ref="M106" ca="1">_xll.BDP(L106&amp;" Curncy","NAME")</f>
        <v>#NAME?</v>
      </c>
      <c r="N106" t="e">
        <f ca="1">N60</f>
        <v>#NAME?</v>
      </c>
      <c r="O106" t="e">
        <f ca="1">O60</f>
        <v>#NAME?</v>
      </c>
      <c r="P106" t="e" cm="1">
        <f t="array" ref="P106" ca="1">_xll.BDP(L106&amp;" Curncy","PX_LAST")</f>
        <v>#NAME?</v>
      </c>
    </row>
    <row r="107" spans="1:16" x14ac:dyDescent="0.25">
      <c r="B107" t="s">
        <v>32</v>
      </c>
      <c r="C107" t="s">
        <v>387</v>
      </c>
      <c r="D107" t="e" cm="1">
        <f t="array" ref="D107" ca="1">_xll.BDP(C107&amp;" Curncy","NAME")</f>
        <v>#NAME?</v>
      </c>
      <c r="E107" t="e">
        <f t="shared" ref="E107:F107" ca="1" si="2">E61</f>
        <v>#NAME?</v>
      </c>
      <c r="F107" t="e">
        <f t="shared" ca="1" si="2"/>
        <v>#NAME?</v>
      </c>
      <c r="G107" t="e" cm="1">
        <f t="array" ref="G107" ca="1">_xll.BDP(C107&amp;" Curncy","PX_LAST")</f>
        <v>#NAME?</v>
      </c>
      <c r="K107" t="s">
        <v>32</v>
      </c>
      <c r="L107" t="s">
        <v>400</v>
      </c>
      <c r="M107" t="e" cm="1">
        <f t="array" ref="M107" ca="1">_xll.BDP(L107&amp;" Curncy","NAME")</f>
        <v>#NAME?</v>
      </c>
      <c r="N107" t="e">
        <f t="shared" ref="N107:O107" ca="1" si="3">N61</f>
        <v>#NAME?</v>
      </c>
      <c r="O107" t="e">
        <f t="shared" ca="1" si="3"/>
        <v>#NAME?</v>
      </c>
      <c r="P107" t="e" cm="1">
        <f t="array" ref="P107" ca="1">_xll.BDP(L107&amp;" Curncy","PX_LAST")</f>
        <v>#NAME?</v>
      </c>
    </row>
    <row r="108" spans="1:16" x14ac:dyDescent="0.25">
      <c r="B108" t="s">
        <v>32</v>
      </c>
      <c r="C108" t="s">
        <v>388</v>
      </c>
      <c r="D108" t="e" cm="1">
        <f t="array" ref="D108" ca="1">_xll.BDP(C108&amp;" Curncy","NAME")</f>
        <v>#NAME?</v>
      </c>
      <c r="E108" t="e">
        <f t="shared" ref="E108:F108" ca="1" si="4">E62</f>
        <v>#NAME?</v>
      </c>
      <c r="F108" t="e">
        <f t="shared" ca="1" si="4"/>
        <v>#NAME?</v>
      </c>
      <c r="G108" t="e" cm="1">
        <f t="array" ref="G108" ca="1">_xll.BDP(C108&amp;" Curncy","PX_LAST")</f>
        <v>#NAME?</v>
      </c>
      <c r="K108" t="s">
        <v>32</v>
      </c>
      <c r="L108" t="s">
        <v>401</v>
      </c>
      <c r="M108" t="e" cm="1">
        <f t="array" ref="M108" ca="1">_xll.BDP(L108&amp;" Curncy","NAME")</f>
        <v>#NAME?</v>
      </c>
      <c r="N108" t="e">
        <f t="shared" ref="N108:O108" ca="1" si="5">N62</f>
        <v>#NAME?</v>
      </c>
      <c r="O108" t="e">
        <f t="shared" ca="1" si="5"/>
        <v>#NAME?</v>
      </c>
      <c r="P108" t="e" cm="1">
        <f t="array" ref="P108" ca="1">_xll.BDP(L108&amp;" Curncy","PX_LAST")</f>
        <v>#NAME?</v>
      </c>
    </row>
    <row r="109" spans="1:16" x14ac:dyDescent="0.25">
      <c r="B109" t="s">
        <v>32</v>
      </c>
      <c r="C109" t="s">
        <v>389</v>
      </c>
      <c r="D109" t="e" cm="1">
        <f t="array" ref="D109" ca="1">_xll.BDP(C109&amp;" Curncy","NAME")</f>
        <v>#NAME?</v>
      </c>
      <c r="E109" t="e">
        <f t="shared" ref="E109:F109" ca="1" si="6">E63</f>
        <v>#NAME?</v>
      </c>
      <c r="F109" t="e">
        <f t="shared" ca="1" si="6"/>
        <v>#NAME?</v>
      </c>
      <c r="G109" t="e" cm="1">
        <f t="array" ref="G109" ca="1">_xll.BDP(C109&amp;" Curncy","PX_LAST")</f>
        <v>#NAME?</v>
      </c>
      <c r="K109" t="s">
        <v>32</v>
      </c>
      <c r="L109" t="s">
        <v>402</v>
      </c>
      <c r="M109" t="e" cm="1">
        <f t="array" ref="M109" ca="1">_xll.BDP(L109&amp;" Curncy","NAME")</f>
        <v>#NAME?</v>
      </c>
      <c r="N109" t="e">
        <f t="shared" ref="N109:O109" ca="1" si="7">N63</f>
        <v>#NAME?</v>
      </c>
      <c r="O109" t="e">
        <f t="shared" ca="1" si="7"/>
        <v>#NAME?</v>
      </c>
      <c r="P109" t="e" cm="1">
        <f t="array" ref="P109" ca="1">_xll.BDP(L109&amp;" Curncy","PX_LAST")</f>
        <v>#NAME?</v>
      </c>
    </row>
    <row r="110" spans="1:16" x14ac:dyDescent="0.25">
      <c r="B110" t="s">
        <v>32</v>
      </c>
      <c r="C110" t="s">
        <v>390</v>
      </c>
      <c r="D110" t="e" cm="1">
        <f t="array" ref="D110" ca="1">_xll.BDP(C110&amp;" Curncy","NAME")</f>
        <v>#NAME?</v>
      </c>
      <c r="E110" t="e">
        <f t="shared" ref="E110:F110" ca="1" si="8">E64</f>
        <v>#NAME?</v>
      </c>
      <c r="F110" t="e">
        <f t="shared" ca="1" si="8"/>
        <v>#NAME?</v>
      </c>
      <c r="G110" t="e" cm="1">
        <f t="array" ref="G110" ca="1">_xll.BDP(C110&amp;" Curncy","PX_LAST")</f>
        <v>#NAME?</v>
      </c>
      <c r="K110" t="s">
        <v>32</v>
      </c>
      <c r="L110" t="s">
        <v>403</v>
      </c>
      <c r="M110" t="e" cm="1">
        <f t="array" ref="M110" ca="1">_xll.BDP(L110&amp;" Curncy","NAME")</f>
        <v>#NAME?</v>
      </c>
      <c r="N110" t="e">
        <f t="shared" ref="N110:O110" ca="1" si="9">N64</f>
        <v>#NAME?</v>
      </c>
      <c r="O110" t="e">
        <f t="shared" ca="1" si="9"/>
        <v>#NAME?</v>
      </c>
      <c r="P110" t="e" cm="1">
        <f t="array" ref="P110" ca="1">_xll.BDP(L110&amp;" Curncy","PX_LAST")</f>
        <v>#NAME?</v>
      </c>
    </row>
    <row r="111" spans="1:16" x14ac:dyDescent="0.25">
      <c r="B111" t="s">
        <v>32</v>
      </c>
      <c r="C111" t="s">
        <v>391</v>
      </c>
      <c r="D111" t="e" cm="1">
        <f t="array" ref="D111" ca="1">_xll.BDP(C111&amp;" Curncy","NAME")</f>
        <v>#NAME?</v>
      </c>
      <c r="E111" t="e">
        <f t="shared" ref="E111:F111" ca="1" si="10">E65</f>
        <v>#NAME?</v>
      </c>
      <c r="F111" t="e">
        <f t="shared" ca="1" si="10"/>
        <v>#NAME?</v>
      </c>
      <c r="G111" t="e" cm="1">
        <f t="array" ref="G111" ca="1">_xll.BDP(C111&amp;" Curncy","PX_LAST")</f>
        <v>#NAME?</v>
      </c>
      <c r="K111" t="s">
        <v>32</v>
      </c>
      <c r="L111" t="s">
        <v>404</v>
      </c>
      <c r="M111" t="e" cm="1">
        <f t="array" ref="M111" ca="1">_xll.BDP(L111&amp;" Curncy","NAME")</f>
        <v>#NAME?</v>
      </c>
      <c r="N111" t="e">
        <f t="shared" ref="N111:O111" ca="1" si="11">N65</f>
        <v>#NAME?</v>
      </c>
      <c r="O111" t="e">
        <f t="shared" ca="1" si="11"/>
        <v>#NAME?</v>
      </c>
      <c r="P111" t="e" cm="1">
        <f t="array" ref="P111" ca="1">_xll.BDP(L111&amp;" Curncy","PX_LAST")</f>
        <v>#NAME?</v>
      </c>
    </row>
    <row r="112" spans="1:16" x14ac:dyDescent="0.25">
      <c r="B112" t="s">
        <v>32</v>
      </c>
      <c r="C112" t="s">
        <v>392</v>
      </c>
      <c r="D112" t="e" cm="1">
        <f t="array" ref="D112" ca="1">_xll.BDP(C112&amp;" Curncy","NAME")</f>
        <v>#NAME?</v>
      </c>
      <c r="E112" t="e">
        <f t="shared" ref="E112:F112" ca="1" si="12">E66</f>
        <v>#NAME?</v>
      </c>
      <c r="F112" t="e">
        <f t="shared" ca="1" si="12"/>
        <v>#NAME?</v>
      </c>
      <c r="G112" t="e" cm="1">
        <f t="array" ref="G112" ca="1">_xll.BDP(C112&amp;" Curncy","PX_LAST")</f>
        <v>#NAME?</v>
      </c>
      <c r="K112" t="s">
        <v>32</v>
      </c>
      <c r="L112" t="s">
        <v>405</v>
      </c>
      <c r="M112" t="e" cm="1">
        <f t="array" ref="M112" ca="1">_xll.BDP(L112&amp;" Curncy","NAME")</f>
        <v>#NAME?</v>
      </c>
      <c r="N112" t="e">
        <f t="shared" ref="N112:O112" ca="1" si="13">N66</f>
        <v>#NAME?</v>
      </c>
      <c r="O112" t="e">
        <f t="shared" ca="1" si="13"/>
        <v>#NAME?</v>
      </c>
      <c r="P112" t="e" cm="1">
        <f t="array" ref="P112" ca="1">_xll.BDP(L112&amp;" Curncy","PX_LAST")</f>
        <v>#NAME?</v>
      </c>
    </row>
    <row r="113" spans="1:16" x14ac:dyDescent="0.25">
      <c r="B113" t="s">
        <v>32</v>
      </c>
      <c r="C113" t="s">
        <v>393</v>
      </c>
      <c r="D113" t="e" cm="1">
        <f t="array" ref="D113" ca="1">_xll.BDP(C113&amp;" Curncy","NAME")</f>
        <v>#NAME?</v>
      </c>
      <c r="E113" t="e">
        <f t="shared" ref="E113:F113" ca="1" si="14">E67</f>
        <v>#NAME?</v>
      </c>
      <c r="F113" t="e">
        <f t="shared" ca="1" si="14"/>
        <v>#NAME?</v>
      </c>
      <c r="G113" t="e" cm="1">
        <f t="array" ref="G113" ca="1">_xll.BDP(C113&amp;" Curncy","PX_LAST")</f>
        <v>#NAME?</v>
      </c>
      <c r="K113" t="s">
        <v>32</v>
      </c>
      <c r="L113" t="s">
        <v>406</v>
      </c>
      <c r="M113" t="e" cm="1">
        <f t="array" ref="M113" ca="1">_xll.BDP(L113&amp;" Curncy","NAME")</f>
        <v>#NAME?</v>
      </c>
      <c r="N113" t="e">
        <f t="shared" ref="N113:O113" ca="1" si="15">N67</f>
        <v>#NAME?</v>
      </c>
      <c r="O113" t="e">
        <f t="shared" ca="1" si="15"/>
        <v>#NAME?</v>
      </c>
      <c r="P113" t="e" cm="1">
        <f t="array" ref="P113" ca="1">_xll.BDP(L113&amp;" Curncy","PX_LAST")</f>
        <v>#NAME?</v>
      </c>
    </row>
    <row r="114" spans="1:16" x14ac:dyDescent="0.25">
      <c r="B114" t="s">
        <v>32</v>
      </c>
      <c r="C114" t="s">
        <v>394</v>
      </c>
      <c r="D114" t="e" cm="1">
        <f t="array" ref="D114" ca="1">_xll.BDP(C114&amp;" Curncy","NAME")</f>
        <v>#NAME?</v>
      </c>
      <c r="E114" t="e">
        <f t="shared" ref="E114:F114" ca="1" si="16">E68</f>
        <v>#NAME?</v>
      </c>
      <c r="F114" t="e">
        <f t="shared" ca="1" si="16"/>
        <v>#NAME?</v>
      </c>
      <c r="G114" t="e" cm="1">
        <f t="array" ref="G114" ca="1">_xll.BDP(C114&amp;" Curncy","PX_LAST")</f>
        <v>#NAME?</v>
      </c>
      <c r="K114" t="s">
        <v>32</v>
      </c>
      <c r="L114" t="s">
        <v>407</v>
      </c>
      <c r="M114" t="e" cm="1">
        <f t="array" ref="M114" ca="1">_xll.BDP(L114&amp;" Curncy","NAME")</f>
        <v>#NAME?</v>
      </c>
      <c r="N114" t="e">
        <f t="shared" ref="N114:O114" ca="1" si="17">N68</f>
        <v>#NAME?</v>
      </c>
      <c r="O114" t="e">
        <f t="shared" ca="1" si="17"/>
        <v>#NAME?</v>
      </c>
      <c r="P114" t="e" cm="1">
        <f t="array" ref="P114" ca="1">_xll.BDP(L114&amp;" Curncy","PX_LAST")</f>
        <v>#NAME?</v>
      </c>
    </row>
    <row r="115" spans="1:16" x14ac:dyDescent="0.25">
      <c r="B115" t="s">
        <v>32</v>
      </c>
      <c r="C115" t="s">
        <v>395</v>
      </c>
      <c r="D115" t="e" cm="1">
        <f t="array" ref="D115" ca="1">_xll.BDP(C115&amp;" Curncy","NAME")</f>
        <v>#NAME?</v>
      </c>
      <c r="E115" t="e">
        <f t="shared" ref="E115:F115" ca="1" si="18">E69</f>
        <v>#NAME?</v>
      </c>
      <c r="F115" t="e">
        <f t="shared" ca="1" si="18"/>
        <v>#NAME?</v>
      </c>
      <c r="G115" t="e" cm="1">
        <f t="array" ref="G115" ca="1">_xll.BDP(C115&amp;" Curncy","PX_LAST")</f>
        <v>#NAME?</v>
      </c>
      <c r="K115" t="s">
        <v>32</v>
      </c>
      <c r="L115" t="s">
        <v>408</v>
      </c>
      <c r="M115" t="e" cm="1">
        <f t="array" ref="M115" ca="1">_xll.BDP(L115&amp;" Curncy","NAME")</f>
        <v>#NAME?</v>
      </c>
      <c r="N115" t="e">
        <f t="shared" ref="N115:O115" ca="1" si="19">N69</f>
        <v>#NAME?</v>
      </c>
      <c r="O115" t="e">
        <f t="shared" ca="1" si="19"/>
        <v>#NAME?</v>
      </c>
      <c r="P115" t="e" cm="1">
        <f t="array" ref="P115" ca="1">_xll.BDP(L115&amp;" Curncy","PX_LAST")</f>
        <v>#NAME?</v>
      </c>
    </row>
    <row r="116" spans="1:16" x14ac:dyDescent="0.25">
      <c r="B116" t="s">
        <v>32</v>
      </c>
      <c r="C116" t="s">
        <v>396</v>
      </c>
      <c r="D116" t="e" cm="1">
        <f t="array" ref="D116" ca="1">_xll.BDP(C116&amp;" Curncy","NAME")</f>
        <v>#NAME?</v>
      </c>
      <c r="E116" t="e">
        <f t="shared" ref="E116:F116" ca="1" si="20">E70</f>
        <v>#NAME?</v>
      </c>
      <c r="F116" t="e">
        <f t="shared" ca="1" si="20"/>
        <v>#NAME?</v>
      </c>
      <c r="G116" t="e" cm="1">
        <f t="array" ref="G116" ca="1">_xll.BDP(C116&amp;" Curncy","PX_LAST")</f>
        <v>#NAME?</v>
      </c>
      <c r="K116" t="s">
        <v>32</v>
      </c>
      <c r="L116" t="s">
        <v>409</v>
      </c>
      <c r="M116" t="e" cm="1">
        <f t="array" ref="M116" ca="1">_xll.BDP(L116&amp;" Curncy","NAME")</f>
        <v>#NAME?</v>
      </c>
      <c r="N116" t="e">
        <f t="shared" ref="N116:O116" ca="1" si="21">N70</f>
        <v>#NAME?</v>
      </c>
      <c r="O116" t="e">
        <f t="shared" ca="1" si="21"/>
        <v>#NAME?</v>
      </c>
      <c r="P116" t="e" cm="1">
        <f t="array" ref="P116" ca="1">_xll.BDP(L116&amp;" Curncy","PX_LAST")</f>
        <v>#NAME?</v>
      </c>
    </row>
    <row r="117" spans="1:16" x14ac:dyDescent="0.25">
      <c r="B117" t="s">
        <v>32</v>
      </c>
      <c r="C117" t="s">
        <v>397</v>
      </c>
      <c r="D117" t="e" cm="1">
        <f t="array" ref="D117" ca="1">_xll.BDP(C117&amp;" Curncy","NAME")</f>
        <v>#NAME?</v>
      </c>
      <c r="E117" t="e">
        <f t="shared" ref="E117:F117" ca="1" si="22">E71</f>
        <v>#NAME?</v>
      </c>
      <c r="F117" t="e">
        <f t="shared" ca="1" si="22"/>
        <v>#NAME?</v>
      </c>
      <c r="G117" t="e" cm="1">
        <f t="array" ref="G117" ca="1">_xll.BDP(C117&amp;" Curncy","PX_LAST")</f>
        <v>#NAME?</v>
      </c>
      <c r="K117" t="s">
        <v>32</v>
      </c>
      <c r="L117" t="s">
        <v>410</v>
      </c>
      <c r="M117" t="e" cm="1">
        <f t="array" ref="M117" ca="1">_xll.BDP(L117&amp;" Curncy","NAME")</f>
        <v>#NAME?</v>
      </c>
      <c r="N117" t="e">
        <f t="shared" ref="N117:O117" ca="1" si="23">N71</f>
        <v>#NAME?</v>
      </c>
      <c r="O117" t="e">
        <f t="shared" ca="1" si="23"/>
        <v>#NAME?</v>
      </c>
      <c r="P117" t="e" cm="1">
        <f t="array" ref="P117" ca="1">_xll.BDP(L117&amp;" Curncy","PX_LAST")</f>
        <v>#NAME?</v>
      </c>
    </row>
    <row r="119" spans="1:16" x14ac:dyDescent="0.25">
      <c r="A119" t="s">
        <v>398</v>
      </c>
      <c r="B119" t="s">
        <v>32</v>
      </c>
      <c r="C119" t="s">
        <v>369</v>
      </c>
      <c r="D119" t="e" cm="1">
        <f t="array" ref="D119" ca="1">_xll.BDP(C119&amp;" ICPL Curncy","NAME_RT")</f>
        <v>#NAME?</v>
      </c>
      <c r="E119" t="s">
        <v>30</v>
      </c>
      <c r="F119" t="e" cm="1">
        <f t="array" ref="F119" ca="1">_xll.BDP(C119&amp;" Comdty","Maturity_RT")</f>
        <v>#NAME?</v>
      </c>
      <c r="G119" t="e" cm="1">
        <f t="array" ref="G119" ca="1">_xll.BDP(C119&amp;" Comdty","PX_LAST")</f>
        <v>#NAME?</v>
      </c>
      <c r="J119" t="s">
        <v>398</v>
      </c>
      <c r="K119" t="s">
        <v>32</v>
      </c>
      <c r="L119" t="s">
        <v>411</v>
      </c>
      <c r="M119" t="e" cm="1">
        <f t="array" ref="M119" ca="1">_xll.BDP(L119&amp;" ICPL Curncy","NAME_RT")</f>
        <v>#NAME?</v>
      </c>
      <c r="N119" t="s">
        <v>30</v>
      </c>
      <c r="O119" t="e" cm="1">
        <f t="array" ref="O119" ca="1">_xll.BDP(L119&amp;" Comdty","Maturity_RT")</f>
        <v>#NAME?</v>
      </c>
      <c r="P119" t="e" cm="1">
        <f t="array" ref="P119" ca="1">_xll.BDP(L119&amp;" Comdty","PX_LAST")</f>
        <v>#NAME?</v>
      </c>
    </row>
    <row r="120" spans="1:16" x14ac:dyDescent="0.25">
      <c r="B120" t="s">
        <v>32</v>
      </c>
      <c r="C120" t="s">
        <v>370</v>
      </c>
      <c r="D120" t="e" cm="1">
        <f t="array" ref="D120" ca="1">_xll.BDP(C120&amp;" ICPL Curncy","NAME_RT")</f>
        <v>#NAME?</v>
      </c>
      <c r="E120" t="s">
        <v>30</v>
      </c>
      <c r="F120" t="e" cm="1">
        <f t="array" ref="F120" ca="1">_xll.BDP(C120&amp;" Comdty","Maturity_RT")</f>
        <v>#NAME?</v>
      </c>
      <c r="G120" t="e" cm="1">
        <f t="array" ref="G120" ca="1">_xll.BDP(C120&amp;" Comdty","PX_LAST")</f>
        <v>#NAME?</v>
      </c>
      <c r="K120" t="s">
        <v>32</v>
      </c>
      <c r="L120" t="s">
        <v>412</v>
      </c>
      <c r="M120" t="e" cm="1">
        <f t="array" ref="M120" ca="1">_xll.BDP(L120&amp;" ICPL Curncy","NAME_RT")</f>
        <v>#NAME?</v>
      </c>
      <c r="N120" t="s">
        <v>30</v>
      </c>
      <c r="O120" t="e" cm="1">
        <f t="array" ref="O120" ca="1">_xll.BDP(L120&amp;" Comdty","Maturity_RT")</f>
        <v>#NAME?</v>
      </c>
      <c r="P120" t="e" cm="1">
        <f t="array" ref="P120" ca="1">_xll.BDP(L120&amp;" Comdty","PX_LAST")</f>
        <v>#NAME?</v>
      </c>
    </row>
    <row r="121" spans="1:16" x14ac:dyDescent="0.25">
      <c r="B121" t="s">
        <v>32</v>
      </c>
      <c r="C121" t="s">
        <v>371</v>
      </c>
      <c r="D121" t="e" cm="1">
        <f t="array" ref="D121" ca="1">_xll.BDP(C121&amp;" ICPL Curncy","NAME_RT")</f>
        <v>#NAME?</v>
      </c>
      <c r="E121" t="s">
        <v>30</v>
      </c>
      <c r="F121" t="e" cm="1">
        <f t="array" ref="F121" ca="1">_xll.BDP(C121&amp;" Comdty","Maturity_RT")</f>
        <v>#NAME?</v>
      </c>
      <c r="G121" t="e" cm="1">
        <f t="array" ref="G121" ca="1">_xll.BDP(C121&amp;" Comdty","PX_LAST")</f>
        <v>#NAME?</v>
      </c>
      <c r="K121" t="s">
        <v>32</v>
      </c>
      <c r="L121" t="s">
        <v>413</v>
      </c>
      <c r="M121" t="e" cm="1">
        <f t="array" ref="M121" ca="1">_xll.BDP(L121&amp;" ICPL Curncy","NAME_RT")</f>
        <v>#NAME?</v>
      </c>
      <c r="N121" t="s">
        <v>30</v>
      </c>
      <c r="O121" t="e" cm="1">
        <f t="array" ref="O121" ca="1">_xll.BDP(L121&amp;" Comdty","Maturity_RT")</f>
        <v>#NAME?</v>
      </c>
      <c r="P121" t="e" cm="1">
        <f t="array" ref="P121" ca="1">_xll.BDP(L121&amp;" Comdty","PX_LAST")</f>
        <v>#NAME?</v>
      </c>
    </row>
    <row r="122" spans="1:16" x14ac:dyDescent="0.25">
      <c r="B122" t="s">
        <v>32</v>
      </c>
      <c r="C122" t="s">
        <v>372</v>
      </c>
      <c r="D122" t="e" cm="1">
        <f t="array" ref="D122" ca="1">_xll.BDP(C122&amp;" ICPL Curncy","NAME_RT")</f>
        <v>#NAME?</v>
      </c>
      <c r="E122" t="s">
        <v>30</v>
      </c>
      <c r="F122" t="e" cm="1">
        <f t="array" ref="F122" ca="1">_xll.BDP(C122&amp;" Comdty","Maturity_RT")</f>
        <v>#NAME?</v>
      </c>
      <c r="G122" t="e" cm="1">
        <f t="array" ref="G122" ca="1">_xll.BDP(C122&amp;" Comdty","PX_LAST")</f>
        <v>#NAME?</v>
      </c>
      <c r="K122" t="s">
        <v>32</v>
      </c>
      <c r="L122" t="s">
        <v>414</v>
      </c>
      <c r="M122" t="e" cm="1">
        <f t="array" ref="M122" ca="1">_xll.BDP(L122&amp;" ICPL Curncy","NAME_RT")</f>
        <v>#NAME?</v>
      </c>
      <c r="N122" t="s">
        <v>30</v>
      </c>
      <c r="O122" t="e" cm="1">
        <f t="array" ref="O122" ca="1">_xll.BDP(L122&amp;" Comdty","Maturity_RT")</f>
        <v>#NAME?</v>
      </c>
      <c r="P122" t="e" cm="1">
        <f t="array" ref="P122" ca="1">_xll.BDP(L122&amp;" Comdty","PX_LAST")</f>
        <v>#NAME?</v>
      </c>
    </row>
    <row r="123" spans="1:16" x14ac:dyDescent="0.25">
      <c r="B123" t="s">
        <v>32</v>
      </c>
      <c r="C123" t="s">
        <v>373</v>
      </c>
      <c r="D123" t="e" cm="1">
        <f t="array" ref="D123" ca="1">_xll.BDP(C123&amp;" ICPL Curncy","NAME_RT")</f>
        <v>#NAME?</v>
      </c>
      <c r="E123" t="s">
        <v>30</v>
      </c>
      <c r="F123" t="e" cm="1">
        <f t="array" ref="F123" ca="1">_xll.BDP(C123&amp;" Comdty","Maturity_RT")</f>
        <v>#NAME?</v>
      </c>
      <c r="G123" t="e" cm="1">
        <f t="array" ref="G123" ca="1">_xll.BDP(C123&amp;" Comdty","PX_LAST")</f>
        <v>#NAME?</v>
      </c>
      <c r="K123" t="s">
        <v>32</v>
      </c>
      <c r="L123" t="s">
        <v>415</v>
      </c>
      <c r="M123" t="e" cm="1">
        <f t="array" ref="M123" ca="1">_xll.BDP(L123&amp;" ICPL Curncy","NAME_RT")</f>
        <v>#NAME?</v>
      </c>
      <c r="N123" t="s">
        <v>30</v>
      </c>
      <c r="O123" t="e" cm="1">
        <f t="array" ref="O123" ca="1">_xll.BDP(L123&amp;" Comdty","Maturity_RT")</f>
        <v>#NAME?</v>
      </c>
      <c r="P123" t="e" cm="1">
        <f t="array" ref="P123" ca="1">_xll.BDP(L123&amp;" Comdty","PX_LAST")</f>
        <v>#NAME?</v>
      </c>
    </row>
    <row r="124" spans="1:16" x14ac:dyDescent="0.25">
      <c r="B124" t="s">
        <v>32</v>
      </c>
      <c r="C124" t="s">
        <v>374</v>
      </c>
      <c r="D124" t="e" cm="1">
        <f t="array" ref="D124" ca="1">_xll.BDP(C124&amp;" ICPL Curncy","NAME_RT")</f>
        <v>#NAME?</v>
      </c>
      <c r="E124" t="s">
        <v>30</v>
      </c>
      <c r="F124" t="e" cm="1">
        <f t="array" ref="F124" ca="1">_xll.BDP(C124&amp;" Comdty","Maturity_RT")</f>
        <v>#NAME?</v>
      </c>
      <c r="G124" t="e" cm="1">
        <f t="array" ref="G124" ca="1">_xll.BDP(C124&amp;" Comdty","PX_LAST")</f>
        <v>#NAME?</v>
      </c>
      <c r="K124" t="s">
        <v>32</v>
      </c>
      <c r="L124" t="s">
        <v>416</v>
      </c>
      <c r="M124" t="e" cm="1">
        <f t="array" ref="M124" ca="1">_xll.BDP(L124&amp;" ICPL Curncy","NAME_RT")</f>
        <v>#NAME?</v>
      </c>
      <c r="N124" t="s">
        <v>30</v>
      </c>
      <c r="O124" t="e" cm="1">
        <f t="array" ref="O124" ca="1">_xll.BDP(L124&amp;" Comdty","Maturity_RT")</f>
        <v>#NAME?</v>
      </c>
      <c r="P124" t="e" cm="1">
        <f t="array" ref="P124" ca="1">_xll.BDP(L124&amp;" Comdty","PX_LAST")</f>
        <v>#NAME?</v>
      </c>
    </row>
    <row r="125" spans="1:16" x14ac:dyDescent="0.25">
      <c r="B125" t="s">
        <v>32</v>
      </c>
      <c r="C125" t="s">
        <v>375</v>
      </c>
      <c r="D125" t="e" cm="1">
        <f t="array" ref="D125" ca="1">_xll.BDP(C125&amp;" ICPL Curncy","NAME_RT")</f>
        <v>#NAME?</v>
      </c>
      <c r="E125" t="s">
        <v>30</v>
      </c>
      <c r="F125" t="e" cm="1">
        <f t="array" ref="F125" ca="1">_xll.BDP(C125&amp;" Comdty","Maturity_RT")</f>
        <v>#NAME?</v>
      </c>
      <c r="G125" t="e" cm="1">
        <f t="array" ref="G125" ca="1">_xll.BDP(C125&amp;" Comdty","PX_LAST")</f>
        <v>#NAME?</v>
      </c>
      <c r="K125" t="s">
        <v>32</v>
      </c>
      <c r="L125" t="s">
        <v>417</v>
      </c>
      <c r="M125" t="e" cm="1">
        <f t="array" ref="M125" ca="1">_xll.BDP(L125&amp;" ICPL Curncy","NAME_RT")</f>
        <v>#NAME?</v>
      </c>
      <c r="N125" t="s">
        <v>30</v>
      </c>
      <c r="O125" t="e" cm="1">
        <f t="array" ref="O125" ca="1">_xll.BDP(L125&amp;" Comdty","Maturity_RT")</f>
        <v>#NAME?</v>
      </c>
      <c r="P125" t="e" cm="1">
        <f t="array" ref="P125" ca="1">_xll.BDP(L125&amp;" Comdty","PX_LAST")</f>
        <v>#NAME?</v>
      </c>
    </row>
    <row r="126" spans="1:16" x14ac:dyDescent="0.25">
      <c r="B126" t="s">
        <v>32</v>
      </c>
      <c r="C126" t="s">
        <v>376</v>
      </c>
      <c r="D126" t="e" cm="1">
        <f t="array" ref="D126" ca="1">_xll.BDP(C126&amp;" ICPL Curncy","NAME_RT")</f>
        <v>#NAME?</v>
      </c>
      <c r="E126" t="s">
        <v>30</v>
      </c>
      <c r="F126" t="e" cm="1">
        <f t="array" ref="F126" ca="1">_xll.BDP(C126&amp;" Comdty","Maturity_RT")</f>
        <v>#NAME?</v>
      </c>
      <c r="G126" t="e" cm="1">
        <f t="array" ref="G126" ca="1">_xll.BDP(C126&amp;" Comdty","PX_LAST")</f>
        <v>#NAME?</v>
      </c>
      <c r="K126" t="s">
        <v>32</v>
      </c>
      <c r="L126" t="s">
        <v>418</v>
      </c>
      <c r="M126" t="e" cm="1">
        <f t="array" ref="M126" ca="1">_xll.BDP(L126&amp;" ICPL Curncy","NAME_RT")</f>
        <v>#NAME?</v>
      </c>
      <c r="N126" t="s">
        <v>30</v>
      </c>
      <c r="O126" t="e" cm="1">
        <f t="array" ref="O126" ca="1">_xll.BDP(L126&amp;" Comdty","Maturity_RT")</f>
        <v>#NAME?</v>
      </c>
      <c r="P126" t="e" cm="1">
        <f t="array" ref="P126" ca="1">_xll.BDP(L126&amp;" Comdty","PX_LAST")</f>
        <v>#NAME?</v>
      </c>
    </row>
    <row r="127" spans="1:16" x14ac:dyDescent="0.25">
      <c r="B127" t="s">
        <v>32</v>
      </c>
      <c r="C127" t="s">
        <v>377</v>
      </c>
      <c r="D127" t="e" cm="1">
        <f t="array" ref="D127" ca="1">_xll.BDP(C127&amp;" ICPL Curncy","NAME_RT")</f>
        <v>#NAME?</v>
      </c>
      <c r="E127" t="s">
        <v>30</v>
      </c>
      <c r="F127" t="e" cm="1">
        <f t="array" ref="F127" ca="1">_xll.BDP(C127&amp;" Comdty","Maturity_RT")</f>
        <v>#NAME?</v>
      </c>
      <c r="G127" t="e" cm="1">
        <f t="array" ref="G127" ca="1">_xll.BDP(C127&amp;" Comdty","PX_LAST")</f>
        <v>#NAME?</v>
      </c>
      <c r="K127" t="s">
        <v>32</v>
      </c>
      <c r="L127" t="s">
        <v>419</v>
      </c>
      <c r="M127" t="e" cm="1">
        <f t="array" ref="M127" ca="1">_xll.BDP(L127&amp;" ICPL Curncy","NAME_RT")</f>
        <v>#NAME?</v>
      </c>
      <c r="N127" t="s">
        <v>30</v>
      </c>
      <c r="O127" t="e" cm="1">
        <f t="array" ref="O127" ca="1">_xll.BDP(L127&amp;" Comdty","Maturity_RT")</f>
        <v>#NAME?</v>
      </c>
      <c r="P127" t="e" cm="1">
        <f t="array" ref="P127" ca="1">_xll.BDP(L127&amp;" Comdty","PX_LAST")</f>
        <v>#NAME?</v>
      </c>
    </row>
    <row r="128" spans="1:16" x14ac:dyDescent="0.25">
      <c r="B128" t="s">
        <v>32</v>
      </c>
      <c r="C128" t="s">
        <v>378</v>
      </c>
      <c r="D128" t="e" cm="1">
        <f t="array" ref="D128" ca="1">_xll.BDP(C128&amp;" ICPL Curncy","NAME_RT")</f>
        <v>#NAME?</v>
      </c>
      <c r="E128" t="s">
        <v>30</v>
      </c>
      <c r="F128" t="e" cm="1">
        <f t="array" ref="F128" ca="1">_xll.BDP(C128&amp;" Comdty","Maturity_RT")</f>
        <v>#NAME?</v>
      </c>
      <c r="G128" t="e" cm="1">
        <f t="array" ref="G128" ca="1">_xll.BDP(C128&amp;" Comdty","PX_LAST")</f>
        <v>#NAME?</v>
      </c>
      <c r="K128" t="s">
        <v>32</v>
      </c>
      <c r="L128" t="s">
        <v>420</v>
      </c>
      <c r="M128" t="e" cm="1">
        <f t="array" ref="M128" ca="1">_xll.BDP(L128&amp;" ICPL Curncy","NAME_RT")</f>
        <v>#NAME?</v>
      </c>
      <c r="N128" t="s">
        <v>30</v>
      </c>
      <c r="O128" t="e" cm="1">
        <f t="array" ref="O128" ca="1">_xll.BDP(L128&amp;" Comdty","Maturity_RT")</f>
        <v>#NAME?</v>
      </c>
      <c r="P128" t="e" cm="1">
        <f t="array" ref="P128" ca="1">_xll.BDP(L128&amp;" Comdty","PX_LAST")</f>
        <v>#NAME?</v>
      </c>
    </row>
    <row r="129" spans="1:16" x14ac:dyDescent="0.25">
      <c r="B129" t="s">
        <v>32</v>
      </c>
      <c r="C129" t="s">
        <v>379</v>
      </c>
      <c r="D129" t="e" cm="1">
        <f t="array" ref="D129" ca="1">_xll.BDP(C129&amp;" ICPL Curncy","NAME_RT")</f>
        <v>#NAME?</v>
      </c>
      <c r="E129" t="s">
        <v>30</v>
      </c>
      <c r="F129" t="e" cm="1">
        <f t="array" ref="F129" ca="1">_xll.BDP(C129&amp;" Comdty","Maturity_RT")</f>
        <v>#NAME?</v>
      </c>
      <c r="G129" t="e" cm="1">
        <f t="array" ref="G129" ca="1">_xll.BDP(C129&amp;" Comdty","PX_LAST")</f>
        <v>#NAME?</v>
      </c>
      <c r="K129" t="s">
        <v>32</v>
      </c>
      <c r="L129" t="s">
        <v>421</v>
      </c>
      <c r="M129" t="e" cm="1">
        <f t="array" ref="M129" ca="1">_xll.BDP(L129&amp;" ICPL Curncy","NAME_RT")</f>
        <v>#NAME?</v>
      </c>
      <c r="N129" t="s">
        <v>30</v>
      </c>
      <c r="O129" t="e" cm="1">
        <f t="array" ref="O129" ca="1">_xll.BDP(L129&amp;" Comdty","Maturity_RT")</f>
        <v>#NAME?</v>
      </c>
      <c r="P129" t="e" cm="1">
        <f t="array" ref="P129" ca="1">_xll.BDP(L129&amp;" Comdty","PX_LAST")</f>
        <v>#NAME?</v>
      </c>
    </row>
    <row r="130" spans="1:16" x14ac:dyDescent="0.25">
      <c r="B130" t="s">
        <v>32</v>
      </c>
      <c r="C130" t="s">
        <v>380</v>
      </c>
      <c r="D130" t="e" cm="1">
        <f t="array" ref="D130" ca="1">_xll.BDP(C130&amp;" ICPL Curncy","NAME_RT")</f>
        <v>#NAME?</v>
      </c>
      <c r="E130" t="s">
        <v>30</v>
      </c>
      <c r="F130" t="e" cm="1">
        <f t="array" ref="F130" ca="1">_xll.BDP(C130&amp;" Comdty","Maturity_RT")</f>
        <v>#NAME?</v>
      </c>
      <c r="G130" t="e" cm="1">
        <f t="array" ref="G130" ca="1">_xll.BDP(C130&amp;" Comdty","PX_LAST")</f>
        <v>#NAME?</v>
      </c>
      <c r="K130" t="s">
        <v>32</v>
      </c>
      <c r="L130" t="s">
        <v>422</v>
      </c>
      <c r="M130" t="e" cm="1">
        <f t="array" ref="M130" ca="1">_xll.BDP(L130&amp;" ICPL Curncy","NAME_RT")</f>
        <v>#NAME?</v>
      </c>
      <c r="N130" t="s">
        <v>30</v>
      </c>
      <c r="O130" t="e" cm="1">
        <f t="array" ref="O130" ca="1">_xll.BDP(L130&amp;" Comdty","Maturity_RT")</f>
        <v>#NAME?</v>
      </c>
      <c r="P130" t="e" cm="1">
        <f t="array" ref="P130" ca="1">_xll.BDP(L130&amp;" Comdty","PX_LAST")</f>
        <v>#NAME?</v>
      </c>
    </row>
    <row r="131" spans="1:16" x14ac:dyDescent="0.25">
      <c r="B131" t="s">
        <v>32</v>
      </c>
      <c r="C131" t="s">
        <v>381</v>
      </c>
      <c r="D131" t="e" cm="1">
        <f t="array" ref="D131" ca="1">_xll.BDP(C131&amp;" ICPL Curncy","NAME_RT")</f>
        <v>#NAME?</v>
      </c>
      <c r="E131" t="s">
        <v>30</v>
      </c>
      <c r="F131" t="e" cm="1">
        <f t="array" ref="F131" ca="1">_xll.BDP(C131&amp;" Comdty","Maturity_RT")</f>
        <v>#NAME?</v>
      </c>
      <c r="G131" t="e" cm="1">
        <f t="array" ref="G131" ca="1">_xll.BDP(C131&amp;" Comdty","PX_LAST")</f>
        <v>#NAME?</v>
      </c>
      <c r="K131" t="s">
        <v>32</v>
      </c>
      <c r="L131" t="s">
        <v>423</v>
      </c>
      <c r="M131" t="e" cm="1">
        <f t="array" ref="M131" ca="1">_xll.BDP(L131&amp;" ICPL Curncy","NAME_RT")</f>
        <v>#NAME?</v>
      </c>
      <c r="N131" t="s">
        <v>30</v>
      </c>
      <c r="O131" t="e" cm="1">
        <f t="array" ref="O131" ca="1">_xll.BDP(L131&amp;" Comdty","Maturity_RT")</f>
        <v>#NAME?</v>
      </c>
      <c r="P131" t="e" cm="1">
        <f t="array" ref="P131" ca="1">_xll.BDP(L131&amp;" Comdty","PX_LAST")</f>
        <v>#NAME?</v>
      </c>
    </row>
    <row r="132" spans="1:16" x14ac:dyDescent="0.25">
      <c r="B132" t="s">
        <v>32</v>
      </c>
      <c r="C132" t="s">
        <v>382</v>
      </c>
      <c r="D132" t="e" cm="1">
        <f t="array" ref="D132" ca="1">_xll.BDP(C132&amp;" ICPL Curncy","NAME_RT")</f>
        <v>#NAME?</v>
      </c>
      <c r="E132" t="s">
        <v>30</v>
      </c>
      <c r="F132" t="e" cm="1">
        <f t="array" ref="F132" ca="1">_xll.BDP(C132&amp;" Comdty","Maturity_RT")</f>
        <v>#NAME?</v>
      </c>
      <c r="G132" t="e" cm="1">
        <f t="array" ref="G132" ca="1">_xll.BDP(C132&amp;" Comdty","PX_LAST")</f>
        <v>#NAME?</v>
      </c>
      <c r="K132" t="s">
        <v>32</v>
      </c>
      <c r="L132" t="s">
        <v>424</v>
      </c>
      <c r="M132" t="e" cm="1">
        <f t="array" ref="M132" ca="1">_xll.BDP(L132&amp;" ICPL Curncy","NAME_RT")</f>
        <v>#NAME?</v>
      </c>
      <c r="N132" t="s">
        <v>30</v>
      </c>
      <c r="O132" t="e" cm="1">
        <f t="array" ref="O132" ca="1">_xll.BDP(L132&amp;" Comdty","Maturity_RT")</f>
        <v>#NAME?</v>
      </c>
      <c r="P132" t="e" cm="1">
        <f t="array" ref="P132" ca="1">_xll.BDP(L132&amp;" Comdty","PX_LAST")</f>
        <v>#NAME?</v>
      </c>
    </row>
    <row r="133" spans="1:16" x14ac:dyDescent="0.25">
      <c r="B133" t="s">
        <v>32</v>
      </c>
      <c r="C133" t="s">
        <v>383</v>
      </c>
      <c r="D133" t="e" cm="1">
        <f t="array" ref="D133" ca="1">_xll.BDP(C133&amp;" ICPL Curncy","NAME_RT")</f>
        <v>#NAME?</v>
      </c>
      <c r="E133" t="s">
        <v>30</v>
      </c>
      <c r="F133" t="e" cm="1">
        <f t="array" ref="F133" ca="1">_xll.BDP(C133&amp;" Comdty","Maturity_RT")</f>
        <v>#NAME?</v>
      </c>
      <c r="G133" t="e" cm="1">
        <f t="array" ref="G133" ca="1">_xll.BDP(C133&amp;" Comdty","PX_LAST")</f>
        <v>#NAME?</v>
      </c>
      <c r="K133" t="s">
        <v>32</v>
      </c>
      <c r="L133" t="s">
        <v>425</v>
      </c>
      <c r="M133" t="e" cm="1">
        <f t="array" ref="M133" ca="1">_xll.BDP(L133&amp;" ICPL Curncy","NAME_RT")</f>
        <v>#NAME?</v>
      </c>
      <c r="N133" t="s">
        <v>30</v>
      </c>
      <c r="O133" t="e" cm="1">
        <f t="array" ref="O133" ca="1">_xll.BDP(L133&amp;" Comdty","Maturity_RT")</f>
        <v>#NAME?</v>
      </c>
      <c r="P133" t="e" cm="1">
        <f t="array" ref="P133" ca="1">_xll.BDP(L133&amp;" Comdty","PX_LAST")</f>
        <v>#NAME?</v>
      </c>
    </row>
    <row r="134" spans="1:16" x14ac:dyDescent="0.25">
      <c r="B134" t="s">
        <v>32</v>
      </c>
      <c r="C134" t="s">
        <v>384</v>
      </c>
      <c r="D134" t="e" cm="1">
        <f t="array" ref="D134" ca="1">_xll.BDP(C134&amp;" ICPL Curncy","NAME_RT")</f>
        <v>#NAME?</v>
      </c>
      <c r="E134" t="s">
        <v>30</v>
      </c>
      <c r="F134" t="e" cm="1">
        <f t="array" ref="F134" ca="1">_xll.BDP(C134&amp;" Comdty","Maturity_RT")</f>
        <v>#NAME?</v>
      </c>
      <c r="G134" t="e" cm="1">
        <f t="array" ref="G134" ca="1">_xll.BDP(C134&amp;" Comdty","PX_LAST")</f>
        <v>#NAME?</v>
      </c>
      <c r="K134" t="s">
        <v>32</v>
      </c>
      <c r="L134" t="s">
        <v>426</v>
      </c>
      <c r="M134" t="e" cm="1">
        <f t="array" ref="M134" ca="1">_xll.BDP(L134&amp;" ICPL Curncy","NAME_RT")</f>
        <v>#NAME?</v>
      </c>
      <c r="N134" t="s">
        <v>30</v>
      </c>
      <c r="O134" t="e" cm="1">
        <f t="array" ref="O134" ca="1">_xll.BDP(L134&amp;" Comdty","Maturity_RT")</f>
        <v>#NAME?</v>
      </c>
      <c r="P134" t="e" cm="1">
        <f t="array" ref="P134" ca="1">_xll.BDP(L134&amp;" Comdty","PX_LAST")</f>
        <v>#NAME?</v>
      </c>
    </row>
    <row r="135" spans="1:16" x14ac:dyDescent="0.25">
      <c r="B135" t="s">
        <v>32</v>
      </c>
      <c r="C135" t="s">
        <v>385</v>
      </c>
      <c r="D135" t="e" cm="1">
        <f t="array" ref="D135" ca="1">_xll.BDP(C135&amp;" ICPL Curncy","NAME_RT")</f>
        <v>#NAME?</v>
      </c>
      <c r="E135" t="s">
        <v>30</v>
      </c>
      <c r="F135" t="e" cm="1">
        <f t="array" ref="F135" ca="1">_xll.BDP(C135&amp;" Comdty","Maturity_RT")</f>
        <v>#NAME?</v>
      </c>
      <c r="G135" t="e" cm="1">
        <f t="array" ref="G135" ca="1">_xll.BDP(C135&amp;" Comdty","PX_LAST")</f>
        <v>#NAME?</v>
      </c>
      <c r="K135" t="s">
        <v>32</v>
      </c>
      <c r="L135" t="s">
        <v>427</v>
      </c>
      <c r="M135" t="e" cm="1">
        <f t="array" ref="M135" ca="1">_xll.BDP(L135&amp;" ICPL Curncy","NAME_RT")</f>
        <v>#NAME?</v>
      </c>
      <c r="N135" t="s">
        <v>30</v>
      </c>
      <c r="O135" t="e" cm="1">
        <f t="array" ref="O135" ca="1">_xll.BDP(L135&amp;" Comdty","Maturity_RT")</f>
        <v>#NAME?</v>
      </c>
      <c r="P135" t="e" cm="1">
        <f t="array" ref="P135" ca="1">_xll.BDP(L135&amp;" Comdty","PX_LAST")</f>
        <v>#NAME?</v>
      </c>
    </row>
    <row r="137" spans="1:16" x14ac:dyDescent="0.25">
      <c r="A137" t="s">
        <v>91</v>
      </c>
      <c r="B137" t="s">
        <v>1</v>
      </c>
      <c r="C137" t="s">
        <v>87</v>
      </c>
      <c r="D137" t="e" cm="1">
        <f t="array" ref="D137" ca="1">_xll.BDP(C137&amp;" ICPL Curncy","NAME_RT")</f>
        <v>#NAME?</v>
      </c>
      <c r="E137" t="s">
        <v>30</v>
      </c>
      <c r="F137" t="s">
        <v>7</v>
      </c>
      <c r="G137" t="e" cm="1">
        <f t="array" ref="G137" ca="1">_xll.BDP(C137&amp;" Comdty","PX_LAST")</f>
        <v>#NAME?</v>
      </c>
      <c r="J137" t="s">
        <v>91</v>
      </c>
      <c r="K137" t="s">
        <v>1</v>
      </c>
      <c r="L137" t="s">
        <v>455</v>
      </c>
      <c r="M137" t="e" cm="1">
        <f t="array" ref="M137" ca="1">_xll.BDP(L137&amp;" ICPL Curncy","NAME_RT")</f>
        <v>#NAME?</v>
      </c>
      <c r="N137" t="s">
        <v>30</v>
      </c>
      <c r="O137" t="s">
        <v>7</v>
      </c>
      <c r="P137" t="e" cm="1">
        <f t="array" ref="P137" ca="1">_xll.BDP(L137&amp;" Comdty","PX_LAST")</f>
        <v>#NAME?</v>
      </c>
    </row>
    <row r="138" spans="1:16" x14ac:dyDescent="0.25">
      <c r="B138" t="s">
        <v>1</v>
      </c>
      <c r="C138" t="s">
        <v>88</v>
      </c>
      <c r="D138" t="e" cm="1">
        <f t="array" ref="D138" ca="1">_xll.BDP(C138&amp;" ICPL Curncy","NAME_RT")</f>
        <v>#NAME?</v>
      </c>
      <c r="E138" t="s">
        <v>30</v>
      </c>
      <c r="F138" t="s">
        <v>8</v>
      </c>
      <c r="G138" t="e" cm="1">
        <f t="array" ref="G138" ca="1">_xll.BDP(C138&amp;" Comdty","PX_LAST")</f>
        <v>#NAME?</v>
      </c>
      <c r="K138" t="s">
        <v>1</v>
      </c>
      <c r="L138" t="s">
        <v>456</v>
      </c>
      <c r="M138" t="e" cm="1">
        <f t="array" ref="M138" ca="1">_xll.BDP(L138&amp;" ICPL Curncy","NAME_RT")</f>
        <v>#NAME?</v>
      </c>
      <c r="N138" t="s">
        <v>30</v>
      </c>
      <c r="O138" t="s">
        <v>8</v>
      </c>
      <c r="P138" t="e" cm="1">
        <f t="array" ref="P138" ca="1">_xll.BDP(L138&amp;" Comdty","PX_LAST")</f>
        <v>#NAME?</v>
      </c>
    </row>
    <row r="139" spans="1:16" x14ac:dyDescent="0.25">
      <c r="B139" t="s">
        <v>1</v>
      </c>
      <c r="C139" t="s">
        <v>89</v>
      </c>
      <c r="D139" t="e" cm="1">
        <f t="array" ref="D139" ca="1">_xll.BDP(C139&amp;" ICPL Curncy","NAME_RT")</f>
        <v>#NAME?</v>
      </c>
      <c r="E139" t="s">
        <v>30</v>
      </c>
      <c r="F139" t="s">
        <v>11</v>
      </c>
      <c r="G139" t="e" cm="1">
        <f t="array" ref="G139" ca="1">_xll.BDP(C139&amp;" Comdty","PX_LAST")</f>
        <v>#NAME?</v>
      </c>
      <c r="K139" t="s">
        <v>1</v>
      </c>
      <c r="L139" t="s">
        <v>457</v>
      </c>
      <c r="M139" t="e" cm="1">
        <f t="array" ref="M139" ca="1">_xll.BDP(L139&amp;" ICPL Curncy","NAME_RT")</f>
        <v>#NAME?</v>
      </c>
      <c r="N139" t="s">
        <v>30</v>
      </c>
      <c r="O139" t="s">
        <v>11</v>
      </c>
      <c r="P139" t="e" cm="1">
        <f t="array" ref="P139" ca="1">_xll.BDP(L139&amp;" Comdty","PX_LAST")</f>
        <v>#NAME?</v>
      </c>
    </row>
    <row r="140" spans="1:16" x14ac:dyDescent="0.25">
      <c r="B140" t="s">
        <v>1</v>
      </c>
      <c r="C140" t="s">
        <v>86</v>
      </c>
      <c r="D140" t="e" cm="1">
        <f t="array" ref="D140" ca="1">_xll.BDP(C140&amp;" ICPL Curncy","NAME_RT")</f>
        <v>#NAME?</v>
      </c>
      <c r="E140" t="s">
        <v>30</v>
      </c>
      <c r="F140" t="s">
        <v>83</v>
      </c>
      <c r="G140" t="e" cm="1">
        <f t="array" ref="G140" ca="1">_xll.BDP(C140&amp;" Comdty","PX_LAST")</f>
        <v>#NAME?</v>
      </c>
      <c r="K140" t="s">
        <v>1</v>
      </c>
      <c r="L140" t="s">
        <v>458</v>
      </c>
      <c r="M140" t="e" cm="1">
        <f t="array" ref="M140" ca="1">_xll.BDP(L140&amp;" ICPL Curncy","NAME_RT")</f>
        <v>#NAME?</v>
      </c>
      <c r="N140" t="s">
        <v>30</v>
      </c>
      <c r="O140" t="s">
        <v>83</v>
      </c>
      <c r="P140" t="e" cm="1">
        <f t="array" ref="P140" ca="1">_xll.BDP(L140&amp;" Comdty","PX_LAST")</f>
        <v>#NAME?</v>
      </c>
    </row>
    <row r="141" spans="1:16" x14ac:dyDescent="0.25">
      <c r="A141" t="s">
        <v>95</v>
      </c>
      <c r="B141" t="s">
        <v>1</v>
      </c>
      <c r="C141" t="s">
        <v>96</v>
      </c>
      <c r="D141" t="e" cm="1">
        <f t="array" ref="D141" ca="1">_xll.BDP(C141&amp;" ICPL Curncy","NAME_RT")</f>
        <v>#NAME?</v>
      </c>
      <c r="E141" t="s">
        <v>30</v>
      </c>
      <c r="F141" t="e" cm="1">
        <f t="array" ref="F141" ca="1">_xll.BDP(C141&amp;" Comdty","Maturity_RT")</f>
        <v>#NAME?</v>
      </c>
      <c r="G141" t="e" cm="1">
        <f t="array" ref="G141" ca="1">_xll.BDP(C141&amp;" Comdty","PX_LAST")</f>
        <v>#NAME?</v>
      </c>
      <c r="J141" t="s">
        <v>95</v>
      </c>
      <c r="K141" t="s">
        <v>1</v>
      </c>
      <c r="L141" t="s">
        <v>459</v>
      </c>
      <c r="M141" t="e" cm="1">
        <f t="array" ref="M141" ca="1">_xll.BDP(L141&amp;" ICPL Curncy","NAME_RT")</f>
        <v>#NAME?</v>
      </c>
      <c r="N141" t="s">
        <v>30</v>
      </c>
      <c r="O141" t="e" cm="1">
        <f t="array" ref="O141" ca="1">_xll.BDP(L141&amp;" Comdty","Maturity_RT")</f>
        <v>#NAME?</v>
      </c>
      <c r="P141" t="e" cm="1">
        <f t="array" ref="P141" ca="1">_xll.BDP(L141&amp;" Comdty","PX_LAST")</f>
        <v>#NAME?</v>
      </c>
    </row>
    <row r="142" spans="1:16" x14ac:dyDescent="0.25">
      <c r="B142" t="s">
        <v>1</v>
      </c>
      <c r="C142" t="s">
        <v>97</v>
      </c>
      <c r="D142" t="e" cm="1">
        <f t="array" ref="D142" ca="1">_xll.BDP(C142&amp;" ICPL Curncy","NAME_RT")</f>
        <v>#NAME?</v>
      </c>
      <c r="E142" t="s">
        <v>30</v>
      </c>
      <c r="F142" t="e" cm="1">
        <f t="array" ref="F142" ca="1">_xll.BDP(C142&amp;" Comdty","Maturity_RT")</f>
        <v>#NAME?</v>
      </c>
      <c r="G142" t="e" cm="1">
        <f t="array" ref="G142" ca="1">_xll.BDP(C142&amp;" Comdty","PX_LAST")</f>
        <v>#NAME?</v>
      </c>
      <c r="K142" t="s">
        <v>1</v>
      </c>
      <c r="L142" t="s">
        <v>460</v>
      </c>
      <c r="M142" t="e" cm="1">
        <f t="array" ref="M142" ca="1">_xll.BDP(L142&amp;" ICPL Curncy","NAME_RT")</f>
        <v>#NAME?</v>
      </c>
      <c r="N142" t="s">
        <v>30</v>
      </c>
      <c r="O142" t="e" cm="1">
        <f t="array" ref="O142" ca="1">_xll.BDP(L142&amp;" Comdty","Maturity_RT")</f>
        <v>#NAME?</v>
      </c>
      <c r="P142" t="e" cm="1">
        <f t="array" ref="P142" ca="1">_xll.BDP(L142&amp;" Comdty","PX_LAST")</f>
        <v>#NAME?</v>
      </c>
    </row>
    <row r="143" spans="1:16" x14ac:dyDescent="0.25">
      <c r="B143" t="s">
        <v>1</v>
      </c>
      <c r="C143" t="s">
        <v>98</v>
      </c>
      <c r="D143" t="e" cm="1">
        <f t="array" ref="D143" ca="1">_xll.BDP(C143&amp;" ICPL Curncy","NAME_RT")</f>
        <v>#NAME?</v>
      </c>
      <c r="E143" t="s">
        <v>30</v>
      </c>
      <c r="F143" t="e" cm="1">
        <f t="array" ref="F143" ca="1">_xll.BDP(C143&amp;" Comdty","Maturity_RT")</f>
        <v>#NAME?</v>
      </c>
      <c r="G143" t="e" cm="1">
        <f t="array" ref="G143" ca="1">_xll.BDP(C143&amp;" Comdty","PX_LAST")</f>
        <v>#NAME?</v>
      </c>
      <c r="K143" t="s">
        <v>1</v>
      </c>
      <c r="L143" t="s">
        <v>461</v>
      </c>
      <c r="M143" t="e" cm="1">
        <f t="array" ref="M143" ca="1">_xll.BDP(L143&amp;" ICPL Curncy","NAME_RT")</f>
        <v>#NAME?</v>
      </c>
      <c r="N143" t="s">
        <v>30</v>
      </c>
      <c r="O143" t="e" cm="1">
        <f t="array" ref="O143" ca="1">_xll.BDP(L143&amp;" Comdty","Maturity_RT")</f>
        <v>#NAME?</v>
      </c>
      <c r="P143" t="e" cm="1">
        <f t="array" ref="P143" ca="1">_xll.BDP(L143&amp;" Comdty","PX_LAST")</f>
        <v>#NAME?</v>
      </c>
    </row>
    <row r="144" spans="1:16" x14ac:dyDescent="0.25">
      <c r="B144" t="s">
        <v>1</v>
      </c>
      <c r="C144" t="s">
        <v>99</v>
      </c>
      <c r="D144" t="e" cm="1">
        <f t="array" ref="D144" ca="1">_xll.BDP(C144&amp;" ICPL Curncy","NAME_RT")</f>
        <v>#NAME?</v>
      </c>
      <c r="E144" t="s">
        <v>30</v>
      </c>
      <c r="F144" t="e" cm="1">
        <f t="array" ref="F144" ca="1">_xll.BDP(C144&amp;" Comdty","Maturity_RT")</f>
        <v>#NAME?</v>
      </c>
      <c r="G144" t="e" cm="1">
        <f t="array" ref="G144" ca="1">_xll.BDP(C144&amp;" Comdty","PX_LAST")</f>
        <v>#NAME?</v>
      </c>
      <c r="K144" t="s">
        <v>1</v>
      </c>
      <c r="L144" t="s">
        <v>462</v>
      </c>
      <c r="M144" t="e" cm="1">
        <f t="array" ref="M144" ca="1">_xll.BDP(L144&amp;" ICPL Curncy","NAME_RT")</f>
        <v>#NAME?</v>
      </c>
      <c r="N144" t="s">
        <v>30</v>
      </c>
      <c r="O144" t="e" cm="1">
        <f t="array" ref="O144" ca="1">_xll.BDP(L144&amp;" Comdty","Maturity_RT")</f>
        <v>#NAME?</v>
      </c>
      <c r="P144" t="e" cm="1">
        <f t="array" ref="P144" ca="1">_xll.BDP(L144&amp;" Comdty","PX_LAST")</f>
        <v>#NAME?</v>
      </c>
    </row>
    <row r="145" spans="1:16" x14ac:dyDescent="0.25">
      <c r="B145" t="s">
        <v>1</v>
      </c>
      <c r="C145" t="s">
        <v>100</v>
      </c>
      <c r="D145" t="e" cm="1">
        <f t="array" ref="D145" ca="1">_xll.BDP(C145&amp;" ICPL Curncy","NAME_RT")</f>
        <v>#NAME?</v>
      </c>
      <c r="E145" t="s">
        <v>30</v>
      </c>
      <c r="F145" t="e" cm="1">
        <f t="array" ref="F145" ca="1">_xll.BDP(C145&amp;" Comdty","Maturity_RT")</f>
        <v>#NAME?</v>
      </c>
      <c r="G145" t="e" cm="1">
        <f t="array" ref="G145" ca="1">_xll.BDP(C145&amp;" Comdty","PX_LAST")</f>
        <v>#NAME?</v>
      </c>
      <c r="K145" t="s">
        <v>1</v>
      </c>
      <c r="L145" t="s">
        <v>463</v>
      </c>
      <c r="M145" t="e" cm="1">
        <f t="array" ref="M145" ca="1">_xll.BDP(L145&amp;" ICPL Curncy","NAME_RT")</f>
        <v>#NAME?</v>
      </c>
      <c r="N145" t="s">
        <v>30</v>
      </c>
      <c r="O145" t="e" cm="1">
        <f t="array" ref="O145" ca="1">_xll.BDP(L145&amp;" Comdty","Maturity_RT")</f>
        <v>#NAME?</v>
      </c>
      <c r="P145" t="e" cm="1">
        <f t="array" ref="P145" ca="1">_xll.BDP(L145&amp;" Comdty","PX_LAST")</f>
        <v>#NAME?</v>
      </c>
    </row>
    <row r="146" spans="1:16" x14ac:dyDescent="0.25">
      <c r="B146" t="s">
        <v>1</v>
      </c>
      <c r="C146" t="s">
        <v>101</v>
      </c>
      <c r="D146" t="e" cm="1">
        <f t="array" ref="D146" ca="1">_xll.BDP(C146&amp;" ICPL Curncy","NAME_RT")</f>
        <v>#NAME?</v>
      </c>
      <c r="E146" t="s">
        <v>30</v>
      </c>
      <c r="F146" t="e" cm="1">
        <f t="array" ref="F146" ca="1">_xll.BDP(C146&amp;" Comdty","Maturity_RT")</f>
        <v>#NAME?</v>
      </c>
      <c r="G146" t="e" cm="1">
        <f t="array" ref="G146" ca="1">_xll.BDP(C146&amp;" Comdty","PX_LAST")</f>
        <v>#NAME?</v>
      </c>
      <c r="K146" t="s">
        <v>1</v>
      </c>
      <c r="L146" t="s">
        <v>464</v>
      </c>
      <c r="M146" t="e" cm="1">
        <f t="array" ref="M146" ca="1">_xll.BDP(L146&amp;" ICPL Curncy","NAME_RT")</f>
        <v>#NAME?</v>
      </c>
      <c r="N146" t="s">
        <v>30</v>
      </c>
      <c r="O146" t="e" cm="1">
        <f t="array" ref="O146" ca="1">_xll.BDP(L146&amp;" Comdty","Maturity_RT")</f>
        <v>#NAME?</v>
      </c>
      <c r="P146" t="e" cm="1">
        <f t="array" ref="P146" ca="1">_xll.BDP(L146&amp;" Comdty","PX_LAST")</f>
        <v>#NAME?</v>
      </c>
    </row>
    <row r="147" spans="1:16" x14ac:dyDescent="0.25">
      <c r="B147" t="s">
        <v>1</v>
      </c>
      <c r="C147" t="s">
        <v>102</v>
      </c>
      <c r="D147" t="e" cm="1">
        <f t="array" ref="D147" ca="1">_xll.BDP(C147&amp;" ICPL Curncy","NAME_RT")</f>
        <v>#NAME?</v>
      </c>
      <c r="E147" t="s">
        <v>30</v>
      </c>
      <c r="F147" t="e" cm="1">
        <f t="array" ref="F147" ca="1">_xll.BDP(C147&amp;" Comdty","Maturity_RT")</f>
        <v>#NAME?</v>
      </c>
      <c r="G147" t="e" cm="1">
        <f t="array" ref="G147" ca="1">_xll.BDP(C147&amp;" Comdty","PX_LAST")</f>
        <v>#NAME?</v>
      </c>
      <c r="K147" t="s">
        <v>1</v>
      </c>
      <c r="L147" t="s">
        <v>465</v>
      </c>
      <c r="M147" t="e" cm="1">
        <f t="array" ref="M147" ca="1">_xll.BDP(L147&amp;" ICPL Curncy","NAME_RT")</f>
        <v>#NAME?</v>
      </c>
      <c r="N147" t="s">
        <v>30</v>
      </c>
      <c r="O147" t="e" cm="1">
        <f t="array" ref="O147" ca="1">_xll.BDP(L147&amp;" Comdty","Maturity_RT")</f>
        <v>#NAME?</v>
      </c>
      <c r="P147" t="e" cm="1">
        <f t="array" ref="P147" ca="1">_xll.BDP(L147&amp;" Comdty","PX_LAST")</f>
        <v>#NAME?</v>
      </c>
    </row>
    <row r="148" spans="1:16" x14ac:dyDescent="0.25">
      <c r="B148" t="s">
        <v>1</v>
      </c>
      <c r="C148" t="s">
        <v>103</v>
      </c>
      <c r="D148" t="e" cm="1">
        <f t="array" ref="D148" ca="1">_xll.BDP(C148&amp;" ICPL Curncy","NAME_RT")</f>
        <v>#NAME?</v>
      </c>
      <c r="E148" t="s">
        <v>30</v>
      </c>
      <c r="F148" t="e" cm="1">
        <f t="array" ref="F148" ca="1">_xll.BDP(C148&amp;" Comdty","Maturity_RT")</f>
        <v>#NAME?</v>
      </c>
      <c r="G148" t="e" cm="1">
        <f t="array" ref="G148" ca="1">_xll.BDP(C148&amp;" Comdty","PX_LAST")</f>
        <v>#NAME?</v>
      </c>
      <c r="K148" t="s">
        <v>1</v>
      </c>
      <c r="L148" t="s">
        <v>466</v>
      </c>
      <c r="M148" t="e" cm="1">
        <f t="array" ref="M148" ca="1">_xll.BDP(L148&amp;" ICPL Curncy","NAME_RT")</f>
        <v>#NAME?</v>
      </c>
      <c r="N148" t="s">
        <v>30</v>
      </c>
      <c r="O148" t="e" cm="1">
        <f t="array" ref="O148" ca="1">_xll.BDP(L148&amp;" Comdty","Maturity_RT")</f>
        <v>#NAME?</v>
      </c>
      <c r="P148" t="e" cm="1">
        <f t="array" ref="P148" ca="1">_xll.BDP(L148&amp;" Comdty","PX_LAST")</f>
        <v>#NAME?</v>
      </c>
    </row>
    <row r="149" spans="1:16" x14ac:dyDescent="0.25">
      <c r="B149" t="s">
        <v>1</v>
      </c>
      <c r="C149" t="s">
        <v>104</v>
      </c>
      <c r="D149" t="e" cm="1">
        <f t="array" ref="D149" ca="1">_xll.BDP(C149&amp;" ICPL Curncy","NAME_RT")</f>
        <v>#NAME?</v>
      </c>
      <c r="E149" t="s">
        <v>30</v>
      </c>
      <c r="F149" t="e" cm="1">
        <f t="array" ref="F149" ca="1">_xll.BDP(C149&amp;" Comdty","Maturity_RT")</f>
        <v>#NAME?</v>
      </c>
      <c r="G149" t="e" cm="1">
        <f t="array" ref="G149" ca="1">_xll.BDP(C149&amp;" Comdty","PX_LAST")</f>
        <v>#NAME?</v>
      </c>
      <c r="K149" t="s">
        <v>1</v>
      </c>
      <c r="L149" t="s">
        <v>467</v>
      </c>
      <c r="M149" t="e" cm="1">
        <f t="array" ref="M149" ca="1">_xll.BDP(L149&amp;" ICPL Curncy","NAME_RT")</f>
        <v>#NAME?</v>
      </c>
      <c r="N149" t="s">
        <v>30</v>
      </c>
      <c r="O149" t="e" cm="1">
        <f t="array" ref="O149" ca="1">_xll.BDP(L149&amp;" Comdty","Maturity_RT")</f>
        <v>#NAME?</v>
      </c>
      <c r="P149" t="e" cm="1">
        <f t="array" ref="P149" ca="1">_xll.BDP(L149&amp;" Comdty","PX_LAST")</f>
        <v>#NAME?</v>
      </c>
    </row>
    <row r="150" spans="1:16" x14ac:dyDescent="0.25">
      <c r="B150" t="s">
        <v>1</v>
      </c>
      <c r="C150" t="s">
        <v>105</v>
      </c>
      <c r="D150" t="e" cm="1">
        <f t="array" ref="D150" ca="1">_xll.BDP(C150&amp;" ICPL Curncy","NAME_RT")</f>
        <v>#NAME?</v>
      </c>
      <c r="E150" t="s">
        <v>30</v>
      </c>
      <c r="F150" t="e" cm="1">
        <f t="array" ref="F150" ca="1">_xll.BDP(C150&amp;" Comdty","Maturity_RT")</f>
        <v>#NAME?</v>
      </c>
      <c r="G150" t="e" cm="1">
        <f t="array" ref="G150" ca="1">_xll.BDP(C150&amp;" Comdty","PX_LAST")</f>
        <v>#NAME?</v>
      </c>
      <c r="K150" t="s">
        <v>1</v>
      </c>
      <c r="L150" t="s">
        <v>468</v>
      </c>
      <c r="M150" t="e" cm="1">
        <f t="array" ref="M150" ca="1">_xll.BDP(L150&amp;" ICPL Curncy","NAME_RT")</f>
        <v>#NAME?</v>
      </c>
      <c r="N150" t="s">
        <v>30</v>
      </c>
      <c r="O150" t="e" cm="1">
        <f t="array" ref="O150" ca="1">_xll.BDP(L150&amp;" Comdty","Maturity_RT")</f>
        <v>#NAME?</v>
      </c>
      <c r="P150" t="e" cm="1">
        <f t="array" ref="P150" ca="1">_xll.BDP(L150&amp;" Comdty","PX_LAST")</f>
        <v>#NAME?</v>
      </c>
    </row>
    <row r="151" spans="1:16" x14ac:dyDescent="0.25">
      <c r="B151" t="s">
        <v>1</v>
      </c>
      <c r="C151" t="s">
        <v>106</v>
      </c>
      <c r="D151" t="e" cm="1">
        <f t="array" ref="D151" ca="1">_xll.BDP(C151&amp;" ICPL Curncy","NAME_RT")</f>
        <v>#NAME?</v>
      </c>
      <c r="E151" t="s">
        <v>30</v>
      </c>
      <c r="F151" t="e" cm="1">
        <f t="array" ref="F151" ca="1">_xll.BDP(C151&amp;" Comdty","Maturity_RT")</f>
        <v>#NAME?</v>
      </c>
      <c r="G151" t="e" cm="1">
        <f t="array" ref="G151" ca="1">_xll.BDP(C151&amp;" Comdty","PX_LAST")</f>
        <v>#NAME?</v>
      </c>
      <c r="K151" t="s">
        <v>1</v>
      </c>
      <c r="L151" t="s">
        <v>469</v>
      </c>
      <c r="M151" t="e" cm="1">
        <f t="array" ref="M151" ca="1">_xll.BDP(L151&amp;" ICPL Curncy","NAME_RT")</f>
        <v>#NAME?</v>
      </c>
      <c r="N151" t="s">
        <v>30</v>
      </c>
      <c r="O151" t="e" cm="1">
        <f t="array" ref="O151" ca="1">_xll.BDP(L151&amp;" Comdty","Maturity_RT")</f>
        <v>#NAME?</v>
      </c>
      <c r="P151" t="e" cm="1">
        <f t="array" ref="P151" ca="1">_xll.BDP(L151&amp;" Comdty","PX_LAST")</f>
        <v>#NAME?</v>
      </c>
    </row>
    <row r="152" spans="1:16" x14ac:dyDescent="0.25">
      <c r="B152" t="s">
        <v>1</v>
      </c>
      <c r="C152" t="s">
        <v>107</v>
      </c>
      <c r="D152" t="e" cm="1">
        <f t="array" ref="D152" ca="1">_xll.BDP(C152&amp;" ICPL Curncy","NAME_RT")</f>
        <v>#NAME?</v>
      </c>
      <c r="E152" t="s">
        <v>30</v>
      </c>
      <c r="F152" t="e" cm="1">
        <f t="array" ref="F152" ca="1">_xll.BDP(C152&amp;" Comdty","Maturity_RT")</f>
        <v>#NAME?</v>
      </c>
      <c r="G152" t="e" cm="1">
        <f t="array" ref="G152" ca="1">_xll.BDP(C152&amp;" Comdty","PX_LAST")</f>
        <v>#NAME?</v>
      </c>
      <c r="K152" t="s">
        <v>1</v>
      </c>
      <c r="L152" t="s">
        <v>470</v>
      </c>
      <c r="M152" t="e" cm="1">
        <f t="array" ref="M152" ca="1">_xll.BDP(L152&amp;" ICPL Curncy","NAME_RT")</f>
        <v>#NAME?</v>
      </c>
      <c r="N152" t="s">
        <v>30</v>
      </c>
      <c r="O152" t="e" cm="1">
        <f t="array" ref="O152" ca="1">_xll.BDP(L152&amp;" Comdty","Maturity_RT")</f>
        <v>#NAME?</v>
      </c>
      <c r="P152" t="e" cm="1">
        <f t="array" ref="P152" ca="1">_xll.BDP(L152&amp;" Comdty","PX_LAST")</f>
        <v>#NAME?</v>
      </c>
    </row>
    <row r="153" spans="1:16" x14ac:dyDescent="0.25">
      <c r="B153" t="s">
        <v>1</v>
      </c>
      <c r="C153" t="s">
        <v>108</v>
      </c>
      <c r="D153" t="e" cm="1">
        <f t="array" ref="D153" ca="1">_xll.BDP(C153&amp;" ICPL Curncy","NAME_RT")</f>
        <v>#NAME?</v>
      </c>
      <c r="E153" t="s">
        <v>30</v>
      </c>
      <c r="F153" t="e" cm="1">
        <f t="array" ref="F153" ca="1">_xll.BDP(C153&amp;" Comdty","Maturity_RT")</f>
        <v>#NAME?</v>
      </c>
      <c r="G153" t="e" cm="1">
        <f t="array" ref="G153" ca="1">_xll.BDP(C153&amp;" Comdty","PX_LAST")</f>
        <v>#NAME?</v>
      </c>
      <c r="K153" t="s">
        <v>1</v>
      </c>
      <c r="L153" t="s">
        <v>471</v>
      </c>
      <c r="M153" t="e" cm="1">
        <f t="array" ref="M153" ca="1">_xll.BDP(L153&amp;" ICPL Curncy","NAME_RT")</f>
        <v>#NAME?</v>
      </c>
      <c r="N153" t="s">
        <v>30</v>
      </c>
      <c r="O153" t="e" cm="1">
        <f t="array" ref="O153" ca="1">_xll.BDP(L153&amp;" Comdty","Maturity_RT")</f>
        <v>#NAME?</v>
      </c>
      <c r="P153" t="e" cm="1">
        <f t="array" ref="P153" ca="1">_xll.BDP(L153&amp;" Comdty","PX_LAST")</f>
        <v>#NAME?</v>
      </c>
    </row>
    <row r="154" spans="1:16" x14ac:dyDescent="0.25">
      <c r="B154" t="s">
        <v>1</v>
      </c>
      <c r="C154" t="s">
        <v>109</v>
      </c>
      <c r="D154" t="e" cm="1">
        <f t="array" ref="D154" ca="1">_xll.BDP(C154&amp;" ICPL Curncy","NAME_RT")</f>
        <v>#NAME?</v>
      </c>
      <c r="E154" t="s">
        <v>30</v>
      </c>
      <c r="F154" t="e" cm="1">
        <f t="array" ref="F154" ca="1">_xll.BDP(C154&amp;" Comdty","Maturity_RT")</f>
        <v>#NAME?</v>
      </c>
      <c r="G154" t="e" cm="1">
        <f t="array" ref="G154" ca="1">_xll.BDP(C154&amp;" Comdty","PX_LAST")</f>
        <v>#NAME?</v>
      </c>
      <c r="K154" t="s">
        <v>1</v>
      </c>
      <c r="L154" t="s">
        <v>472</v>
      </c>
      <c r="M154" t="e" cm="1">
        <f t="array" ref="M154" ca="1">_xll.BDP(L154&amp;" ICPL Curncy","NAME_RT")</f>
        <v>#NAME?</v>
      </c>
      <c r="N154" t="s">
        <v>30</v>
      </c>
      <c r="O154" t="e" cm="1">
        <f t="array" ref="O154" ca="1">_xll.BDP(L154&amp;" Comdty","Maturity_RT")</f>
        <v>#NAME?</v>
      </c>
      <c r="P154" t="e" cm="1">
        <f t="array" ref="P154" ca="1">_xll.BDP(L154&amp;" Comdty","PX_LAST")</f>
        <v>#NAME?</v>
      </c>
    </row>
    <row r="155" spans="1:16" x14ac:dyDescent="0.25">
      <c r="B155" t="s">
        <v>1</v>
      </c>
      <c r="C155" t="s">
        <v>110</v>
      </c>
      <c r="D155" t="e" cm="1">
        <f t="array" ref="D155" ca="1">_xll.BDP(C155&amp;" ICPL Curncy","NAME_RT")</f>
        <v>#NAME?</v>
      </c>
      <c r="E155" t="s">
        <v>30</v>
      </c>
      <c r="F155" t="e" cm="1">
        <f t="array" ref="F155" ca="1">_xll.BDP(C155&amp;" Comdty","Maturity_RT")</f>
        <v>#NAME?</v>
      </c>
      <c r="G155" t="e" cm="1">
        <f t="array" ref="G155" ca="1">_xll.BDP(C155&amp;" Comdty","PX_LAST")</f>
        <v>#NAME?</v>
      </c>
      <c r="K155" t="s">
        <v>1</v>
      </c>
      <c r="L155" t="s">
        <v>473</v>
      </c>
      <c r="M155" t="e" cm="1">
        <f t="array" ref="M155" ca="1">_xll.BDP(L155&amp;" ICPL Curncy","NAME_RT")</f>
        <v>#NAME?</v>
      </c>
      <c r="N155" t="s">
        <v>30</v>
      </c>
      <c r="O155" t="e" cm="1">
        <f t="array" ref="O155" ca="1">_xll.BDP(L155&amp;" Comdty","Maturity_RT")</f>
        <v>#NAME?</v>
      </c>
      <c r="P155" t="e" cm="1">
        <f t="array" ref="P155" ca="1">_xll.BDP(L155&amp;" Comdty","PX_LAST")</f>
        <v>#NAME?</v>
      </c>
    </row>
    <row r="156" spans="1:16" x14ac:dyDescent="0.25">
      <c r="B156" t="s">
        <v>1</v>
      </c>
      <c r="C156" t="s">
        <v>111</v>
      </c>
      <c r="D156" t="e" cm="1">
        <f t="array" ref="D156" ca="1">_xll.BDP(C156&amp;" ICPL Curncy","NAME_RT")</f>
        <v>#NAME?</v>
      </c>
      <c r="E156" t="s">
        <v>30</v>
      </c>
      <c r="F156" t="e" cm="1">
        <f t="array" ref="F156" ca="1">_xll.BDP(C156&amp;" Comdty","Maturity_RT")</f>
        <v>#NAME?</v>
      </c>
      <c r="G156" t="e" cm="1">
        <f t="array" ref="G156" ca="1">_xll.BDP(C156&amp;" Comdty","PX_LAST")</f>
        <v>#NAME?</v>
      </c>
      <c r="K156" t="s">
        <v>1</v>
      </c>
      <c r="L156" t="s">
        <v>474</v>
      </c>
      <c r="M156" t="e" cm="1">
        <f t="array" ref="M156" ca="1">_xll.BDP(L156&amp;" ICPL Curncy","NAME_RT")</f>
        <v>#NAME?</v>
      </c>
      <c r="N156" t="s">
        <v>30</v>
      </c>
      <c r="O156" t="e" cm="1">
        <f t="array" ref="O156" ca="1">_xll.BDP(L156&amp;" Comdty","Maturity_RT")</f>
        <v>#NAME?</v>
      </c>
      <c r="P156" t="e" cm="1">
        <f t="array" ref="P156" ca="1">_xll.BDP(L156&amp;" Comdty","PX_LAST")</f>
        <v>#NAME?</v>
      </c>
    </row>
    <row r="157" spans="1:16" x14ac:dyDescent="0.25">
      <c r="B157" t="s">
        <v>1</v>
      </c>
      <c r="C157" t="s">
        <v>112</v>
      </c>
      <c r="D157" t="e" cm="1">
        <f t="array" ref="D157" ca="1">_xll.BDP(C157&amp;" ICPL Curncy","NAME_RT")</f>
        <v>#NAME?</v>
      </c>
      <c r="E157" t="s">
        <v>30</v>
      </c>
      <c r="F157" t="e" cm="1">
        <f t="array" ref="F157" ca="1">_xll.BDP(C157&amp;" Comdty","Maturity_RT")</f>
        <v>#NAME?</v>
      </c>
      <c r="G157" t="e" cm="1">
        <f t="array" ref="G157" ca="1">_xll.BDP(C157&amp;" Comdty","PX_LAST")</f>
        <v>#NAME?</v>
      </c>
      <c r="K157" t="s">
        <v>1</v>
      </c>
      <c r="L157" t="s">
        <v>475</v>
      </c>
      <c r="M157" t="e" cm="1">
        <f t="array" ref="M157" ca="1">_xll.BDP(L157&amp;" ICPL Curncy","NAME_RT")</f>
        <v>#NAME?</v>
      </c>
      <c r="N157" t="s">
        <v>30</v>
      </c>
      <c r="O157" t="e" cm="1">
        <f t="array" ref="O157" ca="1">_xll.BDP(L157&amp;" Comdty","Maturity_RT")</f>
        <v>#NAME?</v>
      </c>
      <c r="P157" t="e" cm="1">
        <f t="array" ref="P157" ca="1">_xll.BDP(L157&amp;" Comdty","PX_LAST")</f>
        <v>#NAME?</v>
      </c>
    </row>
    <row r="159" spans="1:16" x14ac:dyDescent="0.25">
      <c r="A159" t="s">
        <v>95</v>
      </c>
      <c r="B159" t="s">
        <v>8</v>
      </c>
      <c r="C159" t="s">
        <v>114</v>
      </c>
      <c r="D159" t="e" cm="1">
        <f t="array" ref="D159" ca="1">_xll.BDP(C159&amp;" ICPL Curncy","NAME_RT")</f>
        <v>#NAME?</v>
      </c>
      <c r="E159" t="s">
        <v>30</v>
      </c>
      <c r="F159" t="e" cm="1">
        <f t="array" ref="F159" ca="1">_xll.BDP(C159&amp;" Comdty","Maturity_RT")</f>
        <v>#NAME?</v>
      </c>
      <c r="G159" t="e" cm="1">
        <f t="array" ref="G159" ca="1">_xll.BDP(C159&amp;" Comdty","PX_LAST")</f>
        <v>#NAME?</v>
      </c>
      <c r="J159" t="s">
        <v>95</v>
      </c>
      <c r="K159" t="s">
        <v>11</v>
      </c>
      <c r="L159" t="s">
        <v>476</v>
      </c>
      <c r="M159" t="e" cm="1">
        <f t="array" ref="M159" ca="1">_xll.BDP(L159&amp;" ICPL Curncy","NAME_RT")</f>
        <v>#NAME?</v>
      </c>
      <c r="N159" t="s">
        <v>30</v>
      </c>
      <c r="O159" t="e" cm="1">
        <f t="array" ref="O159" ca="1">_xll.BDP(L159&amp;" Comdty","Maturity_RT")</f>
        <v>#NAME?</v>
      </c>
      <c r="P159" t="e" cm="1">
        <f t="array" ref="P159" ca="1">_xll.BDP(L159&amp;" Comdty","PX_LAST")</f>
        <v>#NAME?</v>
      </c>
    </row>
    <row r="160" spans="1:16" x14ac:dyDescent="0.25">
      <c r="B160" t="s">
        <v>8</v>
      </c>
      <c r="C160" t="s">
        <v>115</v>
      </c>
      <c r="D160" t="e" cm="1">
        <f t="array" ref="D160" ca="1">_xll.BDP(C160&amp;" ICPL Curncy","NAME_RT")</f>
        <v>#NAME?</v>
      </c>
      <c r="E160" t="s">
        <v>30</v>
      </c>
      <c r="F160" t="e" cm="1">
        <f t="array" ref="F160" ca="1">_xll.BDP(C160&amp;" Comdty","Maturity_RT")</f>
        <v>#NAME?</v>
      </c>
      <c r="G160" t="e" cm="1">
        <f t="array" ref="G160" ca="1">_xll.BDP(C160&amp;" Comdty","PX_LAST")</f>
        <v>#NAME?</v>
      </c>
      <c r="K160" t="s">
        <v>11</v>
      </c>
      <c r="L160" t="s">
        <v>477</v>
      </c>
      <c r="M160" t="e" cm="1">
        <f t="array" ref="M160" ca="1">_xll.BDP(L160&amp;" ICPL Curncy","NAME_RT")</f>
        <v>#NAME?</v>
      </c>
      <c r="N160" t="s">
        <v>30</v>
      </c>
      <c r="O160" t="e" cm="1">
        <f t="array" ref="O160" ca="1">_xll.BDP(L160&amp;" Comdty","Maturity_RT")</f>
        <v>#NAME?</v>
      </c>
      <c r="P160" t="e" cm="1">
        <f t="array" ref="P160" ca="1">_xll.BDP(L160&amp;" Comdty","PX_LAST")</f>
        <v>#NAME?</v>
      </c>
    </row>
    <row r="161" spans="2:16" x14ac:dyDescent="0.25">
      <c r="B161" t="s">
        <v>8</v>
      </c>
      <c r="C161" t="s">
        <v>116</v>
      </c>
      <c r="D161" t="e" cm="1">
        <f t="array" ref="D161" ca="1">_xll.BDP(C161&amp;" ICPL Curncy","NAME_RT")</f>
        <v>#NAME?</v>
      </c>
      <c r="E161" t="s">
        <v>30</v>
      </c>
      <c r="F161" t="e" cm="1">
        <f t="array" ref="F161" ca="1">_xll.BDP(C161&amp;" Comdty","Maturity_RT")</f>
        <v>#NAME?</v>
      </c>
      <c r="G161" t="e" cm="1">
        <f t="array" ref="G161" ca="1">_xll.BDP(C161&amp;" Comdty","PX_LAST")</f>
        <v>#NAME?</v>
      </c>
      <c r="K161" t="s">
        <v>11</v>
      </c>
      <c r="L161" t="s">
        <v>478</v>
      </c>
      <c r="M161" t="e" cm="1">
        <f t="array" ref="M161" ca="1">_xll.BDP(L161&amp;" ICPL Curncy","NAME_RT")</f>
        <v>#NAME?</v>
      </c>
      <c r="N161" t="s">
        <v>30</v>
      </c>
      <c r="O161" t="e" cm="1">
        <f t="array" ref="O161" ca="1">_xll.BDP(L161&amp;" Comdty","Maturity_RT")</f>
        <v>#NAME?</v>
      </c>
      <c r="P161" t="e" cm="1">
        <f t="array" ref="P161" ca="1">_xll.BDP(L161&amp;" Comdty","PX_LAST")</f>
        <v>#NAME?</v>
      </c>
    </row>
    <row r="162" spans="2:16" x14ac:dyDescent="0.25">
      <c r="B162" t="s">
        <v>8</v>
      </c>
      <c r="C162" t="s">
        <v>117</v>
      </c>
      <c r="D162" t="e" cm="1">
        <f t="array" ref="D162" ca="1">_xll.BDP(C162&amp;" ICPL Curncy","NAME_RT")</f>
        <v>#NAME?</v>
      </c>
      <c r="E162" t="s">
        <v>30</v>
      </c>
      <c r="F162" t="e" cm="1">
        <f t="array" ref="F162" ca="1">_xll.BDP(C162&amp;" Comdty","Maturity_RT")</f>
        <v>#NAME?</v>
      </c>
      <c r="G162" t="e" cm="1">
        <f t="array" ref="G162" ca="1">_xll.BDP(C162&amp;" Comdty","PX_LAST")</f>
        <v>#NAME?</v>
      </c>
      <c r="K162" t="s">
        <v>11</v>
      </c>
      <c r="L162" t="s">
        <v>479</v>
      </c>
      <c r="M162" t="e" cm="1">
        <f t="array" ref="M162" ca="1">_xll.BDP(L162&amp;" ICPL Curncy","NAME_RT")</f>
        <v>#NAME?</v>
      </c>
      <c r="N162" t="s">
        <v>30</v>
      </c>
      <c r="O162" t="e" cm="1">
        <f t="array" ref="O162" ca="1">_xll.BDP(L162&amp;" Comdty","Maturity_RT")</f>
        <v>#NAME?</v>
      </c>
      <c r="P162" t="e" cm="1">
        <f t="array" ref="P162" ca="1">_xll.BDP(L162&amp;" Comdty","PX_LAST")</f>
        <v>#NAME?</v>
      </c>
    </row>
    <row r="163" spans="2:16" x14ac:dyDescent="0.25">
      <c r="B163" t="s">
        <v>8</v>
      </c>
      <c r="C163" t="s">
        <v>118</v>
      </c>
      <c r="D163" t="e" cm="1">
        <f t="array" ref="D163" ca="1">_xll.BDP(C163&amp;" ICPL Curncy","NAME_RT")</f>
        <v>#NAME?</v>
      </c>
      <c r="E163" t="s">
        <v>30</v>
      </c>
      <c r="F163" t="e" cm="1">
        <f t="array" ref="F163" ca="1">_xll.BDP(C163&amp;" Comdty","Maturity_RT")</f>
        <v>#NAME?</v>
      </c>
      <c r="G163" t="e" cm="1">
        <f t="array" ref="G163" ca="1">_xll.BDP(C163&amp;" Comdty","PX_LAST")</f>
        <v>#NAME?</v>
      </c>
      <c r="K163" t="s">
        <v>11</v>
      </c>
      <c r="L163" t="s">
        <v>480</v>
      </c>
      <c r="M163" t="e" cm="1">
        <f t="array" ref="M163" ca="1">_xll.BDP(L163&amp;" ICPL Curncy","NAME_RT")</f>
        <v>#NAME?</v>
      </c>
      <c r="N163" t="s">
        <v>30</v>
      </c>
      <c r="O163" t="e" cm="1">
        <f t="array" ref="O163" ca="1">_xll.BDP(L163&amp;" Comdty","Maturity_RT")</f>
        <v>#NAME?</v>
      </c>
      <c r="P163" t="e" cm="1">
        <f t="array" ref="P163" ca="1">_xll.BDP(L163&amp;" Comdty","PX_LAST")</f>
        <v>#NAME?</v>
      </c>
    </row>
    <row r="164" spans="2:16" x14ac:dyDescent="0.25">
      <c r="B164" t="s">
        <v>8</v>
      </c>
      <c r="C164" t="s">
        <v>119</v>
      </c>
      <c r="D164" t="e" cm="1">
        <f t="array" ref="D164" ca="1">_xll.BDP(C164&amp;" ICPL Curncy","NAME_RT")</f>
        <v>#NAME?</v>
      </c>
      <c r="E164" t="s">
        <v>30</v>
      </c>
      <c r="F164" t="e" cm="1">
        <f t="array" ref="F164" ca="1">_xll.BDP(C164&amp;" Comdty","Maturity_RT")</f>
        <v>#NAME?</v>
      </c>
      <c r="G164" t="e" cm="1">
        <f t="array" ref="G164" ca="1">_xll.BDP(C164&amp;" Comdty","PX_LAST")</f>
        <v>#NAME?</v>
      </c>
      <c r="K164" t="s">
        <v>11</v>
      </c>
      <c r="L164" t="s">
        <v>481</v>
      </c>
      <c r="M164" t="e" cm="1">
        <f t="array" ref="M164" ca="1">_xll.BDP(L164&amp;" ICPL Curncy","NAME_RT")</f>
        <v>#NAME?</v>
      </c>
      <c r="N164" t="s">
        <v>30</v>
      </c>
      <c r="O164" t="e" cm="1">
        <f t="array" ref="O164" ca="1">_xll.BDP(L164&amp;" Comdty","Maturity_RT")</f>
        <v>#NAME?</v>
      </c>
      <c r="P164" t="e" cm="1">
        <f t="array" ref="P164" ca="1">_xll.BDP(L164&amp;" Comdty","PX_LAST")</f>
        <v>#NAME?</v>
      </c>
    </row>
    <row r="165" spans="2:16" x14ac:dyDescent="0.25">
      <c r="B165" t="s">
        <v>8</v>
      </c>
      <c r="C165" t="s">
        <v>120</v>
      </c>
      <c r="D165" t="e" cm="1">
        <f t="array" ref="D165" ca="1">_xll.BDP(C165&amp;" ICPL Curncy","NAME_RT")</f>
        <v>#NAME?</v>
      </c>
      <c r="E165" t="s">
        <v>30</v>
      </c>
      <c r="F165" t="e" cm="1">
        <f t="array" ref="F165" ca="1">_xll.BDP(C165&amp;" Comdty","Maturity_RT")</f>
        <v>#NAME?</v>
      </c>
      <c r="G165" t="e" cm="1">
        <f t="array" ref="G165" ca="1">_xll.BDP(C165&amp;" Comdty","PX_LAST")</f>
        <v>#NAME?</v>
      </c>
      <c r="K165" t="s">
        <v>11</v>
      </c>
      <c r="L165" t="s">
        <v>482</v>
      </c>
      <c r="M165" t="e" cm="1">
        <f t="array" ref="M165" ca="1">_xll.BDP(L165&amp;" ICPL Curncy","NAME_RT")</f>
        <v>#NAME?</v>
      </c>
      <c r="N165" t="s">
        <v>30</v>
      </c>
      <c r="O165" t="e" cm="1">
        <f t="array" ref="O165" ca="1">_xll.BDP(L165&amp;" Comdty","Maturity_RT")</f>
        <v>#NAME?</v>
      </c>
      <c r="P165" t="e" cm="1">
        <f t="array" ref="P165" ca="1">_xll.BDP(L165&amp;" Comdty","PX_LAST")</f>
        <v>#NAME?</v>
      </c>
    </row>
    <row r="166" spans="2:16" x14ac:dyDescent="0.25">
      <c r="B166" t="s">
        <v>8</v>
      </c>
      <c r="C166" t="s">
        <v>121</v>
      </c>
      <c r="D166" t="e" cm="1">
        <f t="array" ref="D166" ca="1">_xll.BDP(C166&amp;" ICPL Curncy","NAME_RT")</f>
        <v>#NAME?</v>
      </c>
      <c r="E166" t="s">
        <v>30</v>
      </c>
      <c r="F166" t="e" cm="1">
        <f t="array" ref="F166" ca="1">_xll.BDP(C166&amp;" Comdty","Maturity_RT")</f>
        <v>#NAME?</v>
      </c>
      <c r="G166" t="e" cm="1">
        <f t="array" ref="G166" ca="1">_xll.BDP(C166&amp;" Comdty","PX_LAST")</f>
        <v>#NAME?</v>
      </c>
      <c r="K166" t="s">
        <v>11</v>
      </c>
      <c r="L166" t="s">
        <v>483</v>
      </c>
      <c r="M166" t="e" cm="1">
        <f t="array" ref="M166" ca="1">_xll.BDP(L166&amp;" ICPL Curncy","NAME_RT")</f>
        <v>#NAME?</v>
      </c>
      <c r="N166" t="s">
        <v>30</v>
      </c>
      <c r="O166" t="e" cm="1">
        <f t="array" ref="O166" ca="1">_xll.BDP(L166&amp;" Comdty","Maturity_RT")</f>
        <v>#NAME?</v>
      </c>
      <c r="P166" t="e" cm="1">
        <f t="array" ref="P166" ca="1">_xll.BDP(L166&amp;" Comdty","PX_LAST")</f>
        <v>#NAME?</v>
      </c>
    </row>
    <row r="167" spans="2:16" x14ac:dyDescent="0.25">
      <c r="B167" t="s">
        <v>8</v>
      </c>
      <c r="C167" t="s">
        <v>122</v>
      </c>
      <c r="D167" t="e" cm="1">
        <f t="array" ref="D167" ca="1">_xll.BDP(C167&amp;" ICPL Curncy","NAME_RT")</f>
        <v>#NAME?</v>
      </c>
      <c r="E167" t="s">
        <v>30</v>
      </c>
      <c r="F167" t="e" cm="1">
        <f t="array" ref="F167" ca="1">_xll.BDP(C167&amp;" Comdty","Maturity_RT")</f>
        <v>#NAME?</v>
      </c>
      <c r="G167" t="e" cm="1">
        <f t="array" ref="G167" ca="1">_xll.BDP(C167&amp;" Comdty","PX_LAST")</f>
        <v>#NAME?</v>
      </c>
      <c r="K167" t="s">
        <v>11</v>
      </c>
      <c r="L167" t="s">
        <v>484</v>
      </c>
      <c r="M167" t="e" cm="1">
        <f t="array" ref="M167" ca="1">_xll.BDP(L167&amp;" ICPL Curncy","NAME_RT")</f>
        <v>#NAME?</v>
      </c>
      <c r="N167" t="s">
        <v>30</v>
      </c>
      <c r="O167" t="e" cm="1">
        <f t="array" ref="O167" ca="1">_xll.BDP(L167&amp;" Comdty","Maturity_RT")</f>
        <v>#NAME?</v>
      </c>
      <c r="P167" t="e" cm="1">
        <f t="array" ref="P167" ca="1">_xll.BDP(L167&amp;" Comdty","PX_LAST")</f>
        <v>#NAME?</v>
      </c>
    </row>
    <row r="168" spans="2:16" x14ac:dyDescent="0.25">
      <c r="B168" t="s">
        <v>8</v>
      </c>
      <c r="C168" t="s">
        <v>123</v>
      </c>
      <c r="D168" t="e" cm="1">
        <f t="array" ref="D168" ca="1">_xll.BDP(C168&amp;" ICPL Curncy","NAME_RT")</f>
        <v>#NAME?</v>
      </c>
      <c r="E168" t="s">
        <v>30</v>
      </c>
      <c r="F168" t="e" cm="1">
        <f t="array" ref="F168" ca="1">_xll.BDP(C168&amp;" Comdty","Maturity_RT")</f>
        <v>#NAME?</v>
      </c>
      <c r="G168" t="e" cm="1">
        <f t="array" ref="G168" ca="1">_xll.BDP(C168&amp;" Comdty","PX_LAST")</f>
        <v>#NAME?</v>
      </c>
      <c r="K168" t="s">
        <v>11</v>
      </c>
      <c r="L168" t="s">
        <v>485</v>
      </c>
      <c r="M168" t="e" cm="1">
        <f t="array" ref="M168" ca="1">_xll.BDP(L168&amp;" ICPL Curncy","NAME_RT")</f>
        <v>#NAME?</v>
      </c>
      <c r="N168" t="s">
        <v>30</v>
      </c>
      <c r="O168" t="e" cm="1">
        <f t="array" ref="O168" ca="1">_xll.BDP(L168&amp;" Comdty","Maturity_RT")</f>
        <v>#NAME?</v>
      </c>
      <c r="P168" t="e" cm="1">
        <f t="array" ref="P168" ca="1">_xll.BDP(L168&amp;" Comdty","PX_LAST")</f>
        <v>#NAME?</v>
      </c>
    </row>
    <row r="169" spans="2:16" x14ac:dyDescent="0.25">
      <c r="B169" t="s">
        <v>8</v>
      </c>
      <c r="C169" t="s">
        <v>124</v>
      </c>
      <c r="D169" t="e" cm="1">
        <f t="array" ref="D169" ca="1">_xll.BDP(C169&amp;" ICPL Curncy","NAME_RT")</f>
        <v>#NAME?</v>
      </c>
      <c r="E169" t="s">
        <v>30</v>
      </c>
      <c r="F169" t="e" cm="1">
        <f t="array" ref="F169" ca="1">_xll.BDP(C169&amp;" Comdty","Maturity_RT")</f>
        <v>#NAME?</v>
      </c>
      <c r="G169" t="e" cm="1">
        <f t="array" ref="G169" ca="1">_xll.BDP(C169&amp;" Comdty","PX_LAST")</f>
        <v>#NAME?</v>
      </c>
      <c r="K169" t="s">
        <v>11</v>
      </c>
      <c r="L169" t="s">
        <v>486</v>
      </c>
      <c r="M169" t="e" cm="1">
        <f t="array" ref="M169" ca="1">_xll.BDP(L169&amp;" ICPL Curncy","NAME_RT")</f>
        <v>#NAME?</v>
      </c>
      <c r="N169" t="s">
        <v>30</v>
      </c>
      <c r="O169" t="e" cm="1">
        <f t="array" ref="O169" ca="1">_xll.BDP(L169&amp;" Comdty","Maturity_RT")</f>
        <v>#NAME?</v>
      </c>
      <c r="P169" t="e" cm="1">
        <f t="array" ref="P169" ca="1">_xll.BDP(L169&amp;" Comdty","PX_LAST")</f>
        <v>#NAME?</v>
      </c>
    </row>
    <row r="170" spans="2:16" x14ac:dyDescent="0.25">
      <c r="B170" t="s">
        <v>8</v>
      </c>
      <c r="C170" t="s">
        <v>125</v>
      </c>
      <c r="D170" t="e" cm="1">
        <f t="array" ref="D170" ca="1">_xll.BDP(C170&amp;" ICPL Curncy","NAME_RT")</f>
        <v>#NAME?</v>
      </c>
      <c r="E170" t="s">
        <v>30</v>
      </c>
      <c r="F170" t="e" cm="1">
        <f t="array" ref="F170" ca="1">_xll.BDP(C170&amp;" Comdty","Maturity_RT")</f>
        <v>#NAME?</v>
      </c>
      <c r="G170" t="e" cm="1">
        <f t="array" ref="G170" ca="1">_xll.BDP(C170&amp;" Comdty","PX_LAST")</f>
        <v>#NAME?</v>
      </c>
      <c r="K170" t="s">
        <v>11</v>
      </c>
      <c r="L170" t="s">
        <v>487</v>
      </c>
      <c r="M170" t="e" cm="1">
        <f t="array" ref="M170" ca="1">_xll.BDP(L170&amp;" ICPL Curncy","NAME_RT")</f>
        <v>#NAME?</v>
      </c>
      <c r="N170" t="s">
        <v>30</v>
      </c>
      <c r="O170" t="e" cm="1">
        <f t="array" ref="O170" ca="1">_xll.BDP(L170&amp;" Comdty","Maturity_RT")</f>
        <v>#NAME?</v>
      </c>
      <c r="P170" t="e" cm="1">
        <f t="array" ref="P170" ca="1">_xll.BDP(L170&amp;" Comdty","PX_LAST")</f>
        <v>#NAME?</v>
      </c>
    </row>
    <row r="171" spans="2:16" x14ac:dyDescent="0.25">
      <c r="B171" t="s">
        <v>8</v>
      </c>
      <c r="C171" t="s">
        <v>126</v>
      </c>
      <c r="D171" t="e" cm="1">
        <f t="array" ref="D171" ca="1">_xll.BDP(C171&amp;" ICPL Curncy","NAME_RT")</f>
        <v>#NAME?</v>
      </c>
      <c r="E171" t="s">
        <v>30</v>
      </c>
      <c r="F171" t="e" cm="1">
        <f t="array" ref="F171" ca="1">_xll.BDP(C171&amp;" Comdty","Maturity_RT")</f>
        <v>#NAME?</v>
      </c>
      <c r="G171" t="e" cm="1">
        <f t="array" ref="G171" ca="1">_xll.BDP(C171&amp;" Comdty","PX_LAST")</f>
        <v>#NAME?</v>
      </c>
      <c r="K171" t="s">
        <v>11</v>
      </c>
      <c r="L171" t="s">
        <v>488</v>
      </c>
      <c r="M171" t="e" cm="1">
        <f t="array" ref="M171" ca="1">_xll.BDP(L171&amp;" ICPL Curncy","NAME_RT")</f>
        <v>#NAME?</v>
      </c>
      <c r="N171" t="s">
        <v>30</v>
      </c>
      <c r="O171" t="e" cm="1">
        <f t="array" ref="O171" ca="1">_xll.BDP(L171&amp;" Comdty","Maturity_RT")</f>
        <v>#NAME?</v>
      </c>
      <c r="P171" t="e" cm="1">
        <f t="array" ref="P171" ca="1">_xll.BDP(L171&amp;" Comdty","PX_LAST")</f>
        <v>#NAME?</v>
      </c>
    </row>
    <row r="172" spans="2:16" x14ac:dyDescent="0.25">
      <c r="B172" t="s">
        <v>8</v>
      </c>
      <c r="C172" t="s">
        <v>127</v>
      </c>
      <c r="D172" t="e" cm="1">
        <f t="array" ref="D172" ca="1">_xll.BDP(C172&amp;" ICPL Curncy","NAME_RT")</f>
        <v>#NAME?</v>
      </c>
      <c r="E172" t="s">
        <v>30</v>
      </c>
      <c r="F172" t="e" cm="1">
        <f t="array" ref="F172" ca="1">_xll.BDP(C172&amp;" Comdty","Maturity_RT")</f>
        <v>#NAME?</v>
      </c>
      <c r="G172" t="e" cm="1">
        <f t="array" ref="G172" ca="1">_xll.BDP(C172&amp;" Comdty","PX_LAST")</f>
        <v>#NAME?</v>
      </c>
      <c r="K172" t="s">
        <v>11</v>
      </c>
      <c r="L172" t="s">
        <v>489</v>
      </c>
      <c r="M172" t="e" cm="1">
        <f t="array" ref="M172" ca="1">_xll.BDP(L172&amp;" ICPL Curncy","NAME_RT")</f>
        <v>#NAME?</v>
      </c>
      <c r="N172" t="s">
        <v>30</v>
      </c>
      <c r="O172" t="e" cm="1">
        <f t="array" ref="O172" ca="1">_xll.BDP(L172&amp;" Comdty","Maturity_RT")</f>
        <v>#NAME?</v>
      </c>
      <c r="P172" t="e" cm="1">
        <f t="array" ref="P172" ca="1">_xll.BDP(L172&amp;" Comdty","PX_LAST")</f>
        <v>#NAME?</v>
      </c>
    </row>
    <row r="173" spans="2:16" x14ac:dyDescent="0.25">
      <c r="B173" t="s">
        <v>8</v>
      </c>
      <c r="C173" t="s">
        <v>128</v>
      </c>
      <c r="D173" t="e" cm="1">
        <f t="array" ref="D173" ca="1">_xll.BDP(C173&amp;" ICPL Curncy","NAME_RT")</f>
        <v>#NAME?</v>
      </c>
      <c r="E173" t="s">
        <v>30</v>
      </c>
      <c r="F173" t="e" cm="1">
        <f t="array" ref="F173" ca="1">_xll.BDP(C173&amp;" Comdty","Maturity_RT")</f>
        <v>#NAME?</v>
      </c>
      <c r="G173" t="e" cm="1">
        <f t="array" ref="G173" ca="1">_xll.BDP(C173&amp;" Comdty","PX_LAST")</f>
        <v>#NAME?</v>
      </c>
      <c r="K173" t="s">
        <v>11</v>
      </c>
      <c r="L173" t="s">
        <v>490</v>
      </c>
      <c r="M173" t="e" cm="1">
        <f t="array" ref="M173" ca="1">_xll.BDP(L173&amp;" ICPL Curncy","NAME_RT")</f>
        <v>#NAME?</v>
      </c>
      <c r="N173" t="s">
        <v>30</v>
      </c>
      <c r="O173" t="e" cm="1">
        <f t="array" ref="O173" ca="1">_xll.BDP(L173&amp;" Comdty","Maturity_RT")</f>
        <v>#NAME?</v>
      </c>
      <c r="P173" t="e" cm="1">
        <f t="array" ref="P173" ca="1">_xll.BDP(L173&amp;" Comdty","PX_LAST")</f>
        <v>#NAME?</v>
      </c>
    </row>
    <row r="174" spans="2:16" x14ac:dyDescent="0.25">
      <c r="B174" t="s">
        <v>8</v>
      </c>
      <c r="C174" t="s">
        <v>129</v>
      </c>
      <c r="D174" t="e" cm="1">
        <f t="array" ref="D174" ca="1">_xll.BDP(C174&amp;" ICPL Curncy","NAME_RT")</f>
        <v>#NAME?</v>
      </c>
      <c r="E174" t="s">
        <v>30</v>
      </c>
      <c r="F174" t="e" cm="1">
        <f t="array" ref="F174" ca="1">_xll.BDP(C174&amp;" Comdty","Maturity_RT")</f>
        <v>#NAME?</v>
      </c>
      <c r="G174" t="e" cm="1">
        <f t="array" ref="G174" ca="1">_xll.BDP(C174&amp;" Comdty","PX_LAST")</f>
        <v>#NAME?</v>
      </c>
      <c r="K174" t="s">
        <v>11</v>
      </c>
      <c r="L174" t="s">
        <v>491</v>
      </c>
      <c r="M174" t="e" cm="1">
        <f t="array" ref="M174" ca="1">_xll.BDP(L174&amp;" ICPL Curncy","NAME_RT")</f>
        <v>#NAME?</v>
      </c>
      <c r="N174" t="s">
        <v>30</v>
      </c>
      <c r="O174" t="e" cm="1">
        <f t="array" ref="O174" ca="1">_xll.BDP(L174&amp;" Comdty","Maturity_RT")</f>
        <v>#NAME?</v>
      </c>
      <c r="P174" t="e" cm="1">
        <f t="array" ref="P174" ca="1">_xll.BDP(L174&amp;" Comdty","PX_LAST")</f>
        <v>#NAME?</v>
      </c>
    </row>
    <row r="175" spans="2:16" x14ac:dyDescent="0.25">
      <c r="B175" t="s">
        <v>8</v>
      </c>
      <c r="C175" t="s">
        <v>113</v>
      </c>
      <c r="D175" t="e" cm="1">
        <f t="array" ref="D175" ca="1">_xll.BDP(C175&amp;" ICPL Curncy","NAME_RT")</f>
        <v>#NAME?</v>
      </c>
      <c r="E175" t="s">
        <v>30</v>
      </c>
      <c r="F175" t="e" cm="1">
        <f t="array" ref="F175" ca="1">_xll.BDP(C175&amp;" Comdty","Maturity_RT")</f>
        <v>#NAME?</v>
      </c>
      <c r="G175" t="e" cm="1">
        <f t="array" ref="G175" ca="1">_xll.BDP(C175&amp;" Comdty","PX_LAST")</f>
        <v>#NAME?</v>
      </c>
      <c r="K175" t="s">
        <v>11</v>
      </c>
      <c r="L175" t="s">
        <v>492</v>
      </c>
      <c r="M175" t="e" cm="1">
        <f t="array" ref="M175" ca="1">_xll.BDP(L175&amp;" ICPL Curncy","NAME_RT")</f>
        <v>#NAME?</v>
      </c>
      <c r="N175" t="s">
        <v>30</v>
      </c>
      <c r="O175" t="e" cm="1">
        <f t="array" ref="O175" ca="1">_xll.BDP(L175&amp;" Comdty","Maturity_RT")</f>
        <v>#NAME?</v>
      </c>
      <c r="P175" t="e" cm="1">
        <f t="array" ref="P175" ca="1">_xll.BDP(L175&amp;" Comdty","PX_LAST")</f>
        <v>#NAME?</v>
      </c>
    </row>
    <row r="177" spans="1:12" x14ac:dyDescent="0.25">
      <c r="A177" t="s">
        <v>95</v>
      </c>
      <c r="B177" t="s">
        <v>78</v>
      </c>
      <c r="C177" t="s">
        <v>130</v>
      </c>
      <c r="D177" t="e" cm="1">
        <f t="array" ref="D177" ca="1">_xll.BDP(C177&amp;" ICPL Curncy","NAME_RT")</f>
        <v>#NAME?</v>
      </c>
      <c r="E177" t="s">
        <v>30</v>
      </c>
      <c r="F177" t="e" cm="1">
        <f t="array" ref="F177" ca="1">_xll.BDP(C177&amp;" Comdty","Maturity_RT")</f>
        <v>#NAME?</v>
      </c>
      <c r="G177" t="e" cm="1">
        <f t="array" ref="G177" ca="1">_xll.BDP(C177&amp;" Comdty","PX_LAST")</f>
        <v>#NAME?</v>
      </c>
      <c r="J177" t="s">
        <v>95</v>
      </c>
      <c r="K177" t="s">
        <v>78</v>
      </c>
      <c r="L177" t="s">
        <v>493</v>
      </c>
    </row>
    <row r="178" spans="1:12" x14ac:dyDescent="0.25">
      <c r="B178" t="s">
        <v>78</v>
      </c>
      <c r="C178" t="s">
        <v>131</v>
      </c>
      <c r="D178" t="e" cm="1">
        <f t="array" ref="D178" ca="1">_xll.BDP(C178&amp;" ICPL Curncy","NAME_RT")</f>
        <v>#NAME?</v>
      </c>
      <c r="E178" t="s">
        <v>30</v>
      </c>
      <c r="F178" t="e" cm="1">
        <f t="array" ref="F178" ca="1">_xll.BDP(C178&amp;" Comdty","Maturity_RT")</f>
        <v>#NAME?</v>
      </c>
      <c r="G178" t="e" cm="1">
        <f t="array" ref="G178" ca="1">_xll.BDP(C178&amp;" Comdty","PX_LAST")</f>
        <v>#NAME?</v>
      </c>
      <c r="K178" t="s">
        <v>78</v>
      </c>
    </row>
    <row r="179" spans="1:12" x14ac:dyDescent="0.25">
      <c r="B179" t="s">
        <v>78</v>
      </c>
      <c r="C179" t="s">
        <v>132</v>
      </c>
      <c r="D179" t="e" cm="1">
        <f t="array" ref="D179" ca="1">_xll.BDP(C179&amp;" ICPL Curncy","NAME_RT")</f>
        <v>#NAME?</v>
      </c>
      <c r="E179" t="s">
        <v>30</v>
      </c>
      <c r="F179" t="e" cm="1">
        <f t="array" ref="F179" ca="1">_xll.BDP(C179&amp;" Comdty","Maturity_RT")</f>
        <v>#NAME?</v>
      </c>
      <c r="G179" t="e" cm="1">
        <f t="array" ref="G179" ca="1">_xll.BDP(C179&amp;" Comdty","PX_LAST")</f>
        <v>#NAME?</v>
      </c>
      <c r="K179" t="s">
        <v>78</v>
      </c>
    </row>
    <row r="180" spans="1:12" x14ac:dyDescent="0.25">
      <c r="B180" t="s">
        <v>78</v>
      </c>
      <c r="C180" t="s">
        <v>133</v>
      </c>
      <c r="D180" t="e" cm="1">
        <f t="array" ref="D180" ca="1">_xll.BDP(C180&amp;" ICPL Curncy","NAME_RT")</f>
        <v>#NAME?</v>
      </c>
      <c r="E180" t="s">
        <v>30</v>
      </c>
      <c r="F180" t="e" cm="1">
        <f t="array" ref="F180" ca="1">_xll.BDP(C180&amp;" Comdty","Maturity_RT")</f>
        <v>#NAME?</v>
      </c>
      <c r="G180" t="e" cm="1">
        <f t="array" ref="G180" ca="1">_xll.BDP(C180&amp;" Comdty","PX_LAST")</f>
        <v>#NAME?</v>
      </c>
      <c r="K180" t="s">
        <v>78</v>
      </c>
    </row>
    <row r="181" spans="1:12" x14ac:dyDescent="0.25">
      <c r="B181" t="s">
        <v>78</v>
      </c>
      <c r="C181" t="s">
        <v>134</v>
      </c>
      <c r="D181" t="e" cm="1">
        <f t="array" ref="D181" ca="1">_xll.BDP(C181&amp;" ICPL Curncy","NAME_RT")</f>
        <v>#NAME?</v>
      </c>
      <c r="E181" t="s">
        <v>30</v>
      </c>
      <c r="F181" t="e" cm="1">
        <f t="array" ref="F181" ca="1">_xll.BDP(C181&amp;" Comdty","Maturity_RT")</f>
        <v>#NAME?</v>
      </c>
      <c r="G181" t="e" cm="1">
        <f t="array" ref="G181" ca="1">_xll.BDP(C181&amp;" Comdty","PX_LAST")</f>
        <v>#NAME?</v>
      </c>
      <c r="K181" t="s">
        <v>78</v>
      </c>
    </row>
    <row r="182" spans="1:12" x14ac:dyDescent="0.25">
      <c r="B182" t="s">
        <v>78</v>
      </c>
      <c r="C182" t="s">
        <v>135</v>
      </c>
      <c r="D182" t="e" cm="1">
        <f t="array" ref="D182" ca="1">_xll.BDP(C182&amp;" ICPL Curncy","NAME_RT")</f>
        <v>#NAME?</v>
      </c>
      <c r="E182" t="s">
        <v>30</v>
      </c>
      <c r="F182" t="e" cm="1">
        <f t="array" ref="F182" ca="1">_xll.BDP(C182&amp;" Comdty","Maturity_RT")</f>
        <v>#NAME?</v>
      </c>
      <c r="G182" t="e" cm="1">
        <f t="array" ref="G182" ca="1">_xll.BDP(C182&amp;" Comdty","PX_LAST")</f>
        <v>#NAME?</v>
      </c>
      <c r="K182" t="s">
        <v>78</v>
      </c>
    </row>
    <row r="183" spans="1:12" x14ac:dyDescent="0.25">
      <c r="B183" t="s">
        <v>78</v>
      </c>
      <c r="C183" t="s">
        <v>136</v>
      </c>
      <c r="D183" t="e" cm="1">
        <f t="array" ref="D183" ca="1">_xll.BDP(C183&amp;" ICPL Curncy","NAME_RT")</f>
        <v>#NAME?</v>
      </c>
      <c r="E183" t="s">
        <v>30</v>
      </c>
      <c r="F183" t="e" cm="1">
        <f t="array" ref="F183" ca="1">_xll.BDP(C183&amp;" Comdty","Maturity_RT")</f>
        <v>#NAME?</v>
      </c>
      <c r="G183" t="e" cm="1">
        <f t="array" ref="G183" ca="1">_xll.BDP(C183&amp;" Comdty","PX_LAST")</f>
        <v>#NAME?</v>
      </c>
      <c r="K183" t="s">
        <v>78</v>
      </c>
    </row>
    <row r="184" spans="1:12" x14ac:dyDescent="0.25">
      <c r="B184" t="s">
        <v>78</v>
      </c>
      <c r="C184" t="s">
        <v>137</v>
      </c>
      <c r="D184" t="e" cm="1">
        <f t="array" ref="D184" ca="1">_xll.BDP(C184&amp;" ICPL Curncy","NAME_RT")</f>
        <v>#NAME?</v>
      </c>
      <c r="E184" t="s">
        <v>30</v>
      </c>
      <c r="F184" t="e" cm="1">
        <f t="array" ref="F184" ca="1">_xll.BDP(C184&amp;" Comdty","Maturity_RT")</f>
        <v>#NAME?</v>
      </c>
      <c r="G184" t="e" cm="1">
        <f t="array" ref="G184" ca="1">_xll.BDP(C184&amp;" Comdty","PX_LAST")</f>
        <v>#NAME?</v>
      </c>
      <c r="K184" t="s">
        <v>78</v>
      </c>
    </row>
    <row r="185" spans="1:12" x14ac:dyDescent="0.25">
      <c r="B185" t="s">
        <v>78</v>
      </c>
      <c r="C185" t="s">
        <v>138</v>
      </c>
      <c r="D185" t="e" cm="1">
        <f t="array" ref="D185" ca="1">_xll.BDP(C185&amp;" ICPL Curncy","NAME_RT")</f>
        <v>#NAME?</v>
      </c>
      <c r="E185" t="s">
        <v>30</v>
      </c>
      <c r="F185" t="e" cm="1">
        <f t="array" ref="F185" ca="1">_xll.BDP(C185&amp;" Comdty","Maturity_RT")</f>
        <v>#NAME?</v>
      </c>
      <c r="G185" t="e" cm="1">
        <f t="array" ref="G185" ca="1">_xll.BDP(C185&amp;" Comdty","PX_LAST")</f>
        <v>#NAME?</v>
      </c>
      <c r="K185" t="s">
        <v>78</v>
      </c>
    </row>
    <row r="186" spans="1:12" x14ac:dyDescent="0.25">
      <c r="B186" t="s">
        <v>78</v>
      </c>
      <c r="C186" t="s">
        <v>139</v>
      </c>
      <c r="D186" t="e" cm="1">
        <f t="array" ref="D186" ca="1">_xll.BDP(C186&amp;" ICPL Curncy","NAME_RT")</f>
        <v>#NAME?</v>
      </c>
      <c r="E186" t="s">
        <v>30</v>
      </c>
      <c r="F186" t="e" cm="1">
        <f t="array" ref="F186" ca="1">_xll.BDP(C186&amp;" Comdty","Maturity_RT")</f>
        <v>#NAME?</v>
      </c>
      <c r="G186" t="e" cm="1">
        <f t="array" ref="G186" ca="1">_xll.BDP(C186&amp;" Comdty","PX_LAST")</f>
        <v>#NAME?</v>
      </c>
      <c r="K186" t="s">
        <v>78</v>
      </c>
    </row>
    <row r="187" spans="1:12" x14ac:dyDescent="0.25">
      <c r="B187" t="s">
        <v>78</v>
      </c>
      <c r="C187" t="s">
        <v>140</v>
      </c>
      <c r="D187" t="e" cm="1">
        <f t="array" ref="D187" ca="1">_xll.BDP(C187&amp;" ICPL Curncy","NAME_RT")</f>
        <v>#NAME?</v>
      </c>
      <c r="E187" t="s">
        <v>30</v>
      </c>
      <c r="F187" t="e" cm="1">
        <f t="array" ref="F187" ca="1">_xll.BDP(C187&amp;" Comdty","Maturity_RT")</f>
        <v>#NAME?</v>
      </c>
      <c r="G187" t="e" cm="1">
        <f t="array" ref="G187" ca="1">_xll.BDP(C187&amp;" Comdty","PX_LAST")</f>
        <v>#NAME?</v>
      </c>
      <c r="K187" t="s">
        <v>78</v>
      </c>
    </row>
    <row r="188" spans="1:12" x14ac:dyDescent="0.25">
      <c r="B188" t="s">
        <v>78</v>
      </c>
      <c r="C188" t="s">
        <v>141</v>
      </c>
      <c r="D188" t="e" cm="1">
        <f t="array" ref="D188" ca="1">_xll.BDP(C188&amp;" ICPL Curncy","NAME_RT")</f>
        <v>#NAME?</v>
      </c>
      <c r="E188" t="s">
        <v>30</v>
      </c>
      <c r="F188" t="e" cm="1">
        <f t="array" ref="F188" ca="1">_xll.BDP(C188&amp;" Comdty","Maturity_RT")</f>
        <v>#NAME?</v>
      </c>
      <c r="G188" t="e" cm="1">
        <f t="array" ref="G188" ca="1">_xll.BDP(C188&amp;" Comdty","PX_LAST")</f>
        <v>#NAME?</v>
      </c>
      <c r="K188" t="s">
        <v>78</v>
      </c>
    </row>
    <row r="189" spans="1:12" x14ac:dyDescent="0.25">
      <c r="B189" t="s">
        <v>78</v>
      </c>
      <c r="C189" t="s">
        <v>142</v>
      </c>
      <c r="D189" t="e" cm="1">
        <f t="array" ref="D189" ca="1">_xll.BDP(C189&amp;" ICPL Curncy","NAME_RT")</f>
        <v>#NAME?</v>
      </c>
      <c r="E189" t="s">
        <v>30</v>
      </c>
      <c r="F189" t="e" cm="1">
        <f t="array" ref="F189" ca="1">_xll.BDP(C189&amp;" Comdty","Maturity_RT")</f>
        <v>#NAME?</v>
      </c>
      <c r="G189" t="e" cm="1">
        <f t="array" ref="G189" ca="1">_xll.BDP(C189&amp;" Comdty","PX_LAST")</f>
        <v>#NAME?</v>
      </c>
      <c r="K189" t="s">
        <v>78</v>
      </c>
    </row>
    <row r="190" spans="1:12" x14ac:dyDescent="0.25">
      <c r="B190" t="s">
        <v>78</v>
      </c>
      <c r="C190" t="s">
        <v>143</v>
      </c>
      <c r="D190" t="e" cm="1">
        <f t="array" ref="D190" ca="1">_xll.BDP(C190&amp;" ICPL Curncy","NAME_RT")</f>
        <v>#NAME?</v>
      </c>
      <c r="E190" t="s">
        <v>30</v>
      </c>
      <c r="F190" t="e" cm="1">
        <f t="array" ref="F190" ca="1">_xll.BDP(C190&amp;" Comdty","Maturity_RT")</f>
        <v>#NAME?</v>
      </c>
      <c r="G190" t="e" cm="1">
        <f t="array" ref="G190" ca="1">_xll.BDP(C190&amp;" Comdty","PX_LAST")</f>
        <v>#NAME?</v>
      </c>
      <c r="K190" t="s">
        <v>78</v>
      </c>
    </row>
    <row r="191" spans="1:12" x14ac:dyDescent="0.25">
      <c r="B191" t="s">
        <v>78</v>
      </c>
      <c r="C191" t="s">
        <v>144</v>
      </c>
      <c r="D191" t="e" cm="1">
        <f t="array" ref="D191" ca="1">_xll.BDP(C191&amp;" ICPL Curncy","NAME_RT")</f>
        <v>#NAME?</v>
      </c>
      <c r="E191" t="s">
        <v>30</v>
      </c>
      <c r="F191" t="e" cm="1">
        <f t="array" ref="F191" ca="1">_xll.BDP(C191&amp;" Comdty","Maturity_RT")</f>
        <v>#NAME?</v>
      </c>
      <c r="G191" t="e" cm="1">
        <f t="array" ref="G191" ca="1">_xll.BDP(C191&amp;" Comdty","PX_LAST")</f>
        <v>#NAME?</v>
      </c>
      <c r="K191" t="s">
        <v>78</v>
      </c>
    </row>
    <row r="192" spans="1:12" x14ac:dyDescent="0.25">
      <c r="B192" t="s">
        <v>78</v>
      </c>
      <c r="C192" t="s">
        <v>145</v>
      </c>
      <c r="D192" t="e" cm="1">
        <f t="array" ref="D192" ca="1">_xll.BDP(C192&amp;" ICPL Curncy","NAME_RT")</f>
        <v>#NAME?</v>
      </c>
      <c r="E192" t="s">
        <v>30</v>
      </c>
      <c r="F192" t="e" cm="1">
        <f t="array" ref="F192" ca="1">_xll.BDP(C192&amp;" Comdty","Maturity_RT")</f>
        <v>#NAME?</v>
      </c>
      <c r="G192" t="e" cm="1">
        <f t="array" ref="G192" ca="1">_xll.BDP(C192&amp;" Comdty","PX_LAST")</f>
        <v>#NAME?</v>
      </c>
      <c r="K192" t="s">
        <v>78</v>
      </c>
    </row>
    <row r="193" spans="1:11" x14ac:dyDescent="0.25">
      <c r="B193" t="s">
        <v>78</v>
      </c>
      <c r="C193" t="s">
        <v>146</v>
      </c>
      <c r="D193" t="e" cm="1">
        <f t="array" ref="D193" ca="1">_xll.BDP(C193&amp;" ICPL Curncy","NAME_RT")</f>
        <v>#NAME?</v>
      </c>
      <c r="E193" t="s">
        <v>30</v>
      </c>
      <c r="F193" t="e" cm="1">
        <f t="array" ref="F193" ca="1">_xll.BDP(C193&amp;" Comdty","Maturity_RT")</f>
        <v>#NAME?</v>
      </c>
      <c r="G193" t="e" cm="1">
        <f t="array" ref="G193" ca="1">_xll.BDP(C193&amp;" Comdty","PX_LAST")</f>
        <v>#NAME?</v>
      </c>
      <c r="K193" t="s">
        <v>78</v>
      </c>
    </row>
    <row r="196" spans="1:11" x14ac:dyDescent="0.25">
      <c r="A196" t="s">
        <v>518</v>
      </c>
      <c r="B196" t="s">
        <v>494</v>
      </c>
      <c r="C196" t="s">
        <v>513</v>
      </c>
      <c r="D196" t="e" cm="1">
        <f t="array" ref="D196" ca="1">_xll.BDP(C196&amp;" ICPL Curncy","NAME_RT")</f>
        <v>#NAME?</v>
      </c>
      <c r="E196" t="s">
        <v>30</v>
      </c>
      <c r="F196" t="e" cm="1">
        <f t="array" ref="F196" ca="1">_xll.BDP(C196&amp;" Comdty","Maturity_RT")</f>
        <v>#NAME?</v>
      </c>
      <c r="G196" t="e" cm="1">
        <f t="array" ref="G196" ca="1">_xll.BDP(C196&amp;" Comdty","PX_LAST")</f>
        <v>#NAME?</v>
      </c>
    </row>
    <row r="197" spans="1:11" x14ac:dyDescent="0.25">
      <c r="C197" t="s">
        <v>516</v>
      </c>
      <c r="D197" t="e" cm="1">
        <f t="array" ref="D197" ca="1">_xll.BDP(C197&amp;" ICPL Curncy","NAME_RT")</f>
        <v>#NAME?</v>
      </c>
      <c r="E197" t="s">
        <v>30</v>
      </c>
      <c r="F197" t="e" cm="1">
        <f t="array" ref="F197" ca="1">_xll.BDP(C197&amp;" Comdty","Maturity_RT")</f>
        <v>#NAME?</v>
      </c>
      <c r="G197" t="e" cm="1">
        <f t="array" ref="G197" ca="1">_xll.BDP(C197&amp;" Comdty","PX_LAST")</f>
        <v>#NAME?</v>
      </c>
    </row>
    <row r="198" spans="1:11" x14ac:dyDescent="0.25">
      <c r="C198" t="s">
        <v>514</v>
      </c>
      <c r="D198" t="e" cm="1">
        <f t="array" ref="D198" ca="1">_xll.BDP(C198&amp;" ICPL Curncy","NAME_RT")</f>
        <v>#NAME?</v>
      </c>
      <c r="E198" t="s">
        <v>30</v>
      </c>
      <c r="F198" t="e" cm="1">
        <f t="array" ref="F198" ca="1">_xll.BDP(C198&amp;" Comdty","Maturity_RT")</f>
        <v>#NAME?</v>
      </c>
      <c r="G198" t="e" cm="1">
        <f t="array" ref="G198" ca="1">_xll.BDP(C198&amp;" Comdty","PX_LAST")</f>
        <v>#NAME?</v>
      </c>
    </row>
    <row r="199" spans="1:11" x14ac:dyDescent="0.25">
      <c r="C199" t="s">
        <v>515</v>
      </c>
      <c r="D199" t="e" cm="1">
        <f t="array" ref="D199" ca="1">_xll.BDP(C199&amp;" ICPL Curncy","NAME_RT")</f>
        <v>#NAME?</v>
      </c>
      <c r="E199" t="s">
        <v>30</v>
      </c>
      <c r="F199" t="e" cm="1">
        <f t="array" ref="F199" ca="1">_xll.BDP(C199&amp;" Comdty","Maturity_RT")</f>
        <v>#NAME?</v>
      </c>
      <c r="G199" t="e" cm="1">
        <f t="array" ref="G199" ca="1">_xll.BDP(C199&amp;" Comdty","PX_LAST")</f>
        <v>#NAME?</v>
      </c>
    </row>
    <row r="200" spans="1:11" x14ac:dyDescent="0.25">
      <c r="C200" t="s">
        <v>517</v>
      </c>
      <c r="D200" t="e" cm="1">
        <f t="array" ref="D200" ca="1">_xll.BDP(C200&amp;" ICPL Curncy","NAME_RT")</f>
        <v>#NAME?</v>
      </c>
      <c r="E200" t="s">
        <v>30</v>
      </c>
      <c r="F200" t="e" cm="1">
        <f t="array" ref="F200" ca="1">_xll.BDP(C200&amp;" Comdty","Maturity_RT")</f>
        <v>#NAME?</v>
      </c>
      <c r="G200" t="e" cm="1">
        <f t="array" ref="G200" ca="1">_xll.BDP(C200&amp;" Comdty","PX_LAST")</f>
        <v>#NAME?</v>
      </c>
    </row>
    <row r="201" spans="1:11" x14ac:dyDescent="0.25">
      <c r="A201" t="s">
        <v>519</v>
      </c>
      <c r="B201" t="s">
        <v>495</v>
      </c>
      <c r="C201" t="s">
        <v>496</v>
      </c>
      <c r="D201" t="e" cm="1">
        <f t="array" ref="D201" ca="1">_xll.BDP(C201&amp;" ICPL Curncy","NAME_RT")</f>
        <v>#NAME?</v>
      </c>
      <c r="E201" t="s">
        <v>30</v>
      </c>
      <c r="F201" t="e" cm="1">
        <f t="array" ref="F201" ca="1">_xll.BDP(C201&amp;" Comdty","Maturity_RT")</f>
        <v>#NAME?</v>
      </c>
      <c r="G201" t="e" cm="1">
        <f t="array" ref="G201" ca="1">_xll.BDP(C201&amp;" Comdty","PX_LAST")</f>
        <v>#NAME?</v>
      </c>
    </row>
    <row r="202" spans="1:11" x14ac:dyDescent="0.25">
      <c r="C202" t="s">
        <v>497</v>
      </c>
      <c r="D202" t="e" cm="1">
        <f t="array" ref="D202" ca="1">_xll.BDP(C202&amp;" ICPL Curncy","NAME_RT")</f>
        <v>#NAME?</v>
      </c>
      <c r="E202" t="s">
        <v>30</v>
      </c>
      <c r="F202" t="e" cm="1">
        <f t="array" ref="F202" ca="1">_xll.BDP(C202&amp;" Comdty","Maturity_RT")</f>
        <v>#NAME?</v>
      </c>
      <c r="G202" t="e" cm="1">
        <f t="array" ref="G202" ca="1">_xll.BDP(C202&amp;" Comdty","PX_LAST")</f>
        <v>#NAME?</v>
      </c>
    </row>
    <row r="203" spans="1:11" x14ac:dyDescent="0.25">
      <c r="C203" t="s">
        <v>498</v>
      </c>
      <c r="D203" t="e" cm="1">
        <f t="array" ref="D203" ca="1">_xll.BDP(C203&amp;" ICPL Curncy","NAME_RT")</f>
        <v>#NAME?</v>
      </c>
      <c r="E203" t="s">
        <v>30</v>
      </c>
      <c r="F203" t="e" cm="1">
        <f t="array" ref="F203" ca="1">_xll.BDP(C203&amp;" Comdty","Maturity_RT")</f>
        <v>#NAME?</v>
      </c>
      <c r="G203" t="e" cm="1">
        <f t="array" ref="G203" ca="1">_xll.BDP(C203&amp;" Comdty","PX_LAST")</f>
        <v>#NAME?</v>
      </c>
    </row>
    <row r="204" spans="1:11" x14ac:dyDescent="0.25">
      <c r="C204" t="s">
        <v>499</v>
      </c>
      <c r="D204" t="e" cm="1">
        <f t="array" ref="D204" ca="1">_xll.BDP(C204&amp;" ICPL Curncy","NAME_RT")</f>
        <v>#NAME?</v>
      </c>
      <c r="E204" t="s">
        <v>30</v>
      </c>
      <c r="F204" t="e" cm="1">
        <f t="array" ref="F204" ca="1">_xll.BDP(C204&amp;" Comdty","Maturity_RT")</f>
        <v>#NAME?</v>
      </c>
      <c r="G204" t="e" cm="1">
        <f t="array" ref="G204" ca="1">_xll.BDP(C204&amp;" Comdty","PX_LAST")</f>
        <v>#NAME?</v>
      </c>
    </row>
    <row r="205" spans="1:11" x14ac:dyDescent="0.25">
      <c r="C205" t="s">
        <v>500</v>
      </c>
      <c r="D205" t="e" cm="1">
        <f t="array" ref="D205" ca="1">_xll.BDP(C205&amp;" ICPL Curncy","NAME_RT")</f>
        <v>#NAME?</v>
      </c>
      <c r="E205" t="s">
        <v>30</v>
      </c>
      <c r="F205" t="e" cm="1">
        <f t="array" ref="F205" ca="1">_xll.BDP(C205&amp;" Comdty","Maturity_RT")</f>
        <v>#NAME?</v>
      </c>
      <c r="G205" t="e" cm="1">
        <f t="array" ref="G205" ca="1">_xll.BDP(C205&amp;" Comdty","PX_LAST")</f>
        <v>#NAME?</v>
      </c>
    </row>
    <row r="206" spans="1:11" x14ac:dyDescent="0.25">
      <c r="C206" t="s">
        <v>501</v>
      </c>
      <c r="D206" t="e" cm="1">
        <f t="array" ref="D206" ca="1">_xll.BDP(C206&amp;" ICPL Curncy","NAME_RT")</f>
        <v>#NAME?</v>
      </c>
      <c r="E206" t="s">
        <v>30</v>
      </c>
      <c r="F206" t="e" cm="1">
        <f t="array" ref="F206" ca="1">_xll.BDP(C206&amp;" Comdty","Maturity_RT")</f>
        <v>#NAME?</v>
      </c>
      <c r="G206" t="e" cm="1">
        <f t="array" ref="G206" ca="1">_xll.BDP(C206&amp;" Comdty","PX_LAST")</f>
        <v>#NAME?</v>
      </c>
    </row>
    <row r="207" spans="1:11" x14ac:dyDescent="0.25">
      <c r="C207" t="s">
        <v>502</v>
      </c>
      <c r="D207" t="e" cm="1">
        <f t="array" ref="D207" ca="1">_xll.BDP(C207&amp;" ICPL Curncy","NAME_RT")</f>
        <v>#NAME?</v>
      </c>
      <c r="E207" t="s">
        <v>30</v>
      </c>
      <c r="F207" t="e" cm="1">
        <f t="array" ref="F207" ca="1">_xll.BDP(C207&amp;" Comdty","Maturity_RT")</f>
        <v>#NAME?</v>
      </c>
      <c r="G207" t="e" cm="1">
        <f t="array" ref="G207" ca="1">_xll.BDP(C207&amp;" Comdty","PX_LAST")</f>
        <v>#NAME?</v>
      </c>
    </row>
    <row r="208" spans="1:11" x14ac:dyDescent="0.25">
      <c r="C208" t="s">
        <v>503</v>
      </c>
      <c r="D208" t="e" cm="1">
        <f t="array" ref="D208" ca="1">_xll.BDP(C208&amp;" ICPL Curncy","NAME_RT")</f>
        <v>#NAME?</v>
      </c>
      <c r="E208" t="s">
        <v>30</v>
      </c>
      <c r="F208" t="e" cm="1">
        <f t="array" ref="F208" ca="1">_xll.BDP(C208&amp;" Comdty","Maturity_RT")</f>
        <v>#NAME?</v>
      </c>
      <c r="G208" t="e" cm="1">
        <f t="array" ref="G208" ca="1">_xll.BDP(C208&amp;" Comdty","PX_LAST")</f>
        <v>#NAME?</v>
      </c>
    </row>
    <row r="209" spans="3:7" x14ac:dyDescent="0.25">
      <c r="C209" t="s">
        <v>504</v>
      </c>
      <c r="D209" t="e" cm="1">
        <f t="array" ref="D209" ca="1">_xll.BDP(C209&amp;" ICPL Curncy","NAME_RT")</f>
        <v>#NAME?</v>
      </c>
      <c r="E209" t="s">
        <v>30</v>
      </c>
      <c r="F209" t="e" cm="1">
        <f t="array" ref="F209" ca="1">_xll.BDP(C209&amp;" Comdty","Maturity_RT")</f>
        <v>#NAME?</v>
      </c>
      <c r="G209" t="e" cm="1">
        <f t="array" ref="G209" ca="1">_xll.BDP(C209&amp;" Comdty","PX_LAST")</f>
        <v>#NAME?</v>
      </c>
    </row>
    <row r="210" spans="3:7" x14ac:dyDescent="0.25">
      <c r="C210" t="s">
        <v>505</v>
      </c>
      <c r="D210" t="e" cm="1">
        <f t="array" ref="D210" ca="1">_xll.BDP(C210&amp;" ICPL Curncy","NAME_RT")</f>
        <v>#NAME?</v>
      </c>
      <c r="E210" t="s">
        <v>30</v>
      </c>
      <c r="F210" t="e" cm="1">
        <f t="array" ref="F210" ca="1">_xll.BDP(C210&amp;" Comdty","Maturity_RT")</f>
        <v>#NAME?</v>
      </c>
      <c r="G210" t="e" cm="1">
        <f t="array" ref="G210" ca="1">_xll.BDP(C210&amp;" Comdty","PX_LAST")</f>
        <v>#NAME?</v>
      </c>
    </row>
    <row r="211" spans="3:7" x14ac:dyDescent="0.25">
      <c r="C211" t="s">
        <v>506</v>
      </c>
      <c r="D211" t="e" cm="1">
        <f t="array" ref="D211" ca="1">_xll.BDP(C211&amp;" ICPL Curncy","NAME_RT")</f>
        <v>#NAME?</v>
      </c>
      <c r="E211" t="s">
        <v>30</v>
      </c>
      <c r="F211" t="e" cm="1">
        <f t="array" ref="F211" ca="1">_xll.BDP(C211&amp;" Comdty","Maturity_RT")</f>
        <v>#NAME?</v>
      </c>
      <c r="G211" t="e" cm="1">
        <f t="array" ref="G211" ca="1">_xll.BDP(C211&amp;" Comdty","PX_LAST")</f>
        <v>#NAME?</v>
      </c>
    </row>
    <row r="212" spans="3:7" x14ac:dyDescent="0.25">
      <c r="C212" t="s">
        <v>507</v>
      </c>
      <c r="D212" t="e" cm="1">
        <f t="array" ref="D212" ca="1">_xll.BDP(C212&amp;" ICPL Curncy","NAME_RT")</f>
        <v>#NAME?</v>
      </c>
      <c r="E212" t="s">
        <v>30</v>
      </c>
      <c r="F212" t="e" cm="1">
        <f t="array" ref="F212" ca="1">_xll.BDP(C212&amp;" Comdty","Maturity_RT")</f>
        <v>#NAME?</v>
      </c>
      <c r="G212" t="e" cm="1">
        <f t="array" ref="G212" ca="1">_xll.BDP(C212&amp;" Comdty","PX_LAST")</f>
        <v>#NAME?</v>
      </c>
    </row>
    <row r="213" spans="3:7" x14ac:dyDescent="0.25">
      <c r="C213" t="s">
        <v>508</v>
      </c>
      <c r="D213" t="e" cm="1">
        <f t="array" ref="D213" ca="1">_xll.BDP(C213&amp;" ICPL Curncy","NAME_RT")</f>
        <v>#NAME?</v>
      </c>
      <c r="E213" t="s">
        <v>30</v>
      </c>
      <c r="F213" t="e" cm="1">
        <f t="array" ref="F213" ca="1">_xll.BDP(C213&amp;" Comdty","Maturity_RT")</f>
        <v>#NAME?</v>
      </c>
      <c r="G213" t="e" cm="1">
        <f t="array" ref="G213" ca="1">_xll.BDP(C213&amp;" Comdty","PX_LAST")</f>
        <v>#NAME?</v>
      </c>
    </row>
    <row r="214" spans="3:7" x14ac:dyDescent="0.25">
      <c r="C214" t="s">
        <v>509</v>
      </c>
      <c r="D214" t="e" cm="1">
        <f t="array" ref="D214" ca="1">_xll.BDP(C214&amp;" ICPL Curncy","NAME_RT")</f>
        <v>#NAME?</v>
      </c>
      <c r="E214" t="s">
        <v>30</v>
      </c>
      <c r="F214" t="e" cm="1">
        <f t="array" ref="F214" ca="1">_xll.BDP(C214&amp;" Comdty","Maturity_RT")</f>
        <v>#NAME?</v>
      </c>
      <c r="G214" t="e" cm="1">
        <f t="array" ref="G214" ca="1">_xll.BDP(C214&amp;" Comdty","PX_LAST")</f>
        <v>#NAME?</v>
      </c>
    </row>
    <row r="215" spans="3:7" x14ac:dyDescent="0.25">
      <c r="C215" t="s">
        <v>510</v>
      </c>
      <c r="D215" t="e" cm="1">
        <f t="array" ref="D215" ca="1">_xll.BDP(C215&amp;" ICPL Curncy","NAME_RT")</f>
        <v>#NAME?</v>
      </c>
      <c r="E215" t="s">
        <v>30</v>
      </c>
      <c r="F215" t="e" cm="1">
        <f t="array" ref="F215" ca="1">_xll.BDP(C215&amp;" Comdty","Maturity_RT")</f>
        <v>#NAME?</v>
      </c>
      <c r="G215" t="e" cm="1">
        <f t="array" ref="G215" ca="1">_xll.BDP(C215&amp;" Comdty","PX_LAST")</f>
        <v>#NAME?</v>
      </c>
    </row>
    <row r="216" spans="3:7" x14ac:dyDescent="0.25">
      <c r="C216" t="s">
        <v>511</v>
      </c>
      <c r="D216" t="e" cm="1">
        <f t="array" ref="D216" ca="1">_xll.BDP(C216&amp;" ICPL Curncy","NAME_RT")</f>
        <v>#NAME?</v>
      </c>
      <c r="E216" t="s">
        <v>30</v>
      </c>
      <c r="F216" t="e" cm="1">
        <f t="array" ref="F216" ca="1">_xll.BDP(C216&amp;" Comdty","Maturity_RT")</f>
        <v>#NAME?</v>
      </c>
      <c r="G216" t="e" cm="1">
        <f t="array" ref="G216" ca="1">_xll.BDP(C216&amp;" Comdty","PX_LAST")</f>
        <v>#NAME?</v>
      </c>
    </row>
    <row r="217" spans="3:7" x14ac:dyDescent="0.25">
      <c r="C217" t="s">
        <v>512</v>
      </c>
      <c r="D217" t="e" cm="1">
        <f t="array" ref="D217" ca="1">_xll.BDP(C217&amp;" ICPL Curncy","NAME_RT")</f>
        <v>#NAME?</v>
      </c>
      <c r="E217" t="s">
        <v>30</v>
      </c>
      <c r="F217" t="e" cm="1">
        <f t="array" ref="F217" ca="1">_xll.BDP(C217&amp;" Comdty","Maturity_RT")</f>
        <v>#NAME?</v>
      </c>
      <c r="G217" t="e" cm="1">
        <f t="array" ref="G217" ca="1">_xll.BDP(C217&amp;" Comdty","PX_LAST")</f>
        <v>#NAME?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7A30-65E1-4049-902B-AE77D62771F8}">
  <dimension ref="A1:Q217"/>
  <sheetViews>
    <sheetView workbookViewId="0">
      <selection activeCell="D19" sqref="D19"/>
    </sheetView>
  </sheetViews>
  <sheetFormatPr defaultRowHeight="15" x14ac:dyDescent="0.25"/>
  <cols>
    <col min="1" max="1" width="18.5703125" bestFit="1" customWidth="1"/>
    <col min="2" max="2" width="18.28515625" bestFit="1" customWidth="1"/>
    <col min="3" max="3" width="9.28515625" bestFit="1" customWidth="1"/>
    <col min="4" max="4" width="24.140625" bestFit="1" customWidth="1"/>
    <col min="5" max="6" width="10.5703125" bestFit="1" customWidth="1"/>
    <col min="10" max="10" width="18.5703125" bestFit="1" customWidth="1"/>
    <col min="13" max="13" width="29.28515625" bestFit="1" customWidth="1"/>
    <col min="14" max="15" width="10.5703125" bestFit="1" customWidth="1"/>
  </cols>
  <sheetData>
    <row r="1" spans="1:17" x14ac:dyDescent="0.25">
      <c r="A1" t="s">
        <v>282</v>
      </c>
      <c r="B1" s="2">
        <v>44152.562395601853</v>
      </c>
    </row>
    <row r="2" spans="1:17" x14ac:dyDescent="0.25">
      <c r="A2" t="s">
        <v>349</v>
      </c>
      <c r="B2" t="s">
        <v>147</v>
      </c>
    </row>
    <row r="3" spans="1:17" x14ac:dyDescent="0.25">
      <c r="A3" t="s">
        <v>350</v>
      </c>
      <c r="B3" t="s">
        <v>147</v>
      </c>
    </row>
    <row r="4" spans="1:17" x14ac:dyDescent="0.25">
      <c r="A4" t="s">
        <v>12</v>
      </c>
      <c r="B4" t="s">
        <v>147</v>
      </c>
    </row>
    <row r="5" spans="1:17" x14ac:dyDescent="0.25">
      <c r="A5" t="s">
        <v>13</v>
      </c>
      <c r="B5" t="s">
        <v>147</v>
      </c>
    </row>
    <row r="6" spans="1:17" x14ac:dyDescent="0.25">
      <c r="A6" t="s">
        <v>14</v>
      </c>
      <c r="B6" t="s">
        <v>147</v>
      </c>
    </row>
    <row r="7" spans="1:17" x14ac:dyDescent="0.25">
      <c r="A7" t="s">
        <v>15</v>
      </c>
      <c r="B7" t="s">
        <v>148</v>
      </c>
    </row>
    <row r="8" spans="1:17" x14ac:dyDescent="0.25">
      <c r="A8" t="s">
        <v>16</v>
      </c>
      <c r="B8" t="s">
        <v>148</v>
      </c>
    </row>
    <row r="9" spans="1:17" x14ac:dyDescent="0.25">
      <c r="A9" t="s">
        <v>17</v>
      </c>
      <c r="B9" t="s">
        <v>148</v>
      </c>
    </row>
    <row r="11" spans="1:17" x14ac:dyDescent="0.25">
      <c r="A11" s="3" t="s">
        <v>283</v>
      </c>
      <c r="J11" s="3" t="s">
        <v>285</v>
      </c>
    </row>
    <row r="13" spans="1:17" x14ac:dyDescent="0.25">
      <c r="A13" t="s">
        <v>90</v>
      </c>
      <c r="B13" t="s">
        <v>31</v>
      </c>
      <c r="C13" t="s">
        <v>2</v>
      </c>
      <c r="E13" t="s">
        <v>26</v>
      </c>
      <c r="F13" t="s">
        <v>27</v>
      </c>
      <c r="G13" t="s">
        <v>28</v>
      </c>
      <c r="H13" t="s">
        <v>284</v>
      </c>
      <c r="J13" t="s">
        <v>90</v>
      </c>
      <c r="K13" t="s">
        <v>31</v>
      </c>
      <c r="L13" t="s">
        <v>2</v>
      </c>
      <c r="N13" t="s">
        <v>26</v>
      </c>
      <c r="O13" t="s">
        <v>27</v>
      </c>
      <c r="P13" t="s">
        <v>28</v>
      </c>
      <c r="Q13" t="s">
        <v>284</v>
      </c>
    </row>
    <row r="14" spans="1:17" x14ac:dyDescent="0.25">
      <c r="A14" t="s">
        <v>91</v>
      </c>
      <c r="B14" t="s">
        <v>32</v>
      </c>
      <c r="C14" t="s">
        <v>35</v>
      </c>
      <c r="D14" t="s">
        <v>149</v>
      </c>
      <c r="E14" t="s">
        <v>30</v>
      </c>
      <c r="F14" t="s">
        <v>4</v>
      </c>
      <c r="G14">
        <v>-0.47099999999999997</v>
      </c>
      <c r="J14" t="s">
        <v>298</v>
      </c>
      <c r="K14" t="s">
        <v>32</v>
      </c>
      <c r="L14" t="s">
        <v>286</v>
      </c>
      <c r="M14" t="s">
        <v>520</v>
      </c>
      <c r="N14" t="s">
        <v>521</v>
      </c>
      <c r="O14" t="s">
        <v>522</v>
      </c>
      <c r="P14">
        <v>99.91</v>
      </c>
    </row>
    <row r="15" spans="1:17" x14ac:dyDescent="0.25">
      <c r="B15" t="s">
        <v>32</v>
      </c>
      <c r="C15" t="s">
        <v>36</v>
      </c>
      <c r="D15" t="s">
        <v>150</v>
      </c>
      <c r="E15" t="s">
        <v>30</v>
      </c>
      <c r="F15" t="s">
        <v>5</v>
      </c>
      <c r="G15">
        <v>-0.47099999999999997</v>
      </c>
      <c r="K15" t="s">
        <v>32</v>
      </c>
      <c r="L15" t="s">
        <v>287</v>
      </c>
      <c r="M15" t="s">
        <v>523</v>
      </c>
      <c r="N15" t="s">
        <v>524</v>
      </c>
      <c r="O15" t="s">
        <v>525</v>
      </c>
      <c r="P15">
        <v>99.91</v>
      </c>
    </row>
    <row r="16" spans="1:17" x14ac:dyDescent="0.25">
      <c r="B16" t="s">
        <v>32</v>
      </c>
      <c r="C16" t="s">
        <v>37</v>
      </c>
      <c r="D16" t="s">
        <v>151</v>
      </c>
      <c r="E16" t="s">
        <v>30</v>
      </c>
      <c r="F16" t="s">
        <v>6</v>
      </c>
      <c r="G16">
        <v>-0.47099999999999997</v>
      </c>
      <c r="K16" t="s">
        <v>32</v>
      </c>
      <c r="L16" t="s">
        <v>288</v>
      </c>
      <c r="M16" t="s">
        <v>526</v>
      </c>
      <c r="N16" t="s">
        <v>527</v>
      </c>
      <c r="O16" t="s">
        <v>528</v>
      </c>
      <c r="P16">
        <v>99.915000000000006</v>
      </c>
    </row>
    <row r="17" spans="1:16" x14ac:dyDescent="0.25">
      <c r="B17" t="s">
        <v>32</v>
      </c>
      <c r="C17" t="s">
        <v>29</v>
      </c>
      <c r="D17" t="s">
        <v>152</v>
      </c>
      <c r="E17" t="s">
        <v>30</v>
      </c>
      <c r="F17" t="s">
        <v>1</v>
      </c>
      <c r="G17">
        <v>-0.47399999999999998</v>
      </c>
      <c r="K17" t="s">
        <v>32</v>
      </c>
      <c r="L17" t="s">
        <v>289</v>
      </c>
      <c r="M17" t="s">
        <v>529</v>
      </c>
      <c r="N17" t="s">
        <v>530</v>
      </c>
      <c r="O17" t="s">
        <v>531</v>
      </c>
      <c r="P17">
        <v>99.924999999999997</v>
      </c>
    </row>
    <row r="18" spans="1:16" x14ac:dyDescent="0.25">
      <c r="B18" t="s">
        <v>32</v>
      </c>
      <c r="C18" t="s">
        <v>33</v>
      </c>
      <c r="D18" t="s">
        <v>153</v>
      </c>
      <c r="E18" t="s">
        <v>30</v>
      </c>
      <c r="F18" t="s">
        <v>7</v>
      </c>
      <c r="G18">
        <v>-0.48</v>
      </c>
      <c r="K18" t="s">
        <v>32</v>
      </c>
      <c r="L18" t="s">
        <v>290</v>
      </c>
      <c r="M18" t="s">
        <v>532</v>
      </c>
      <c r="N18" t="s">
        <v>533</v>
      </c>
      <c r="O18" t="s">
        <v>534</v>
      </c>
      <c r="P18">
        <v>99.924999999999997</v>
      </c>
    </row>
    <row r="19" spans="1:16" x14ac:dyDescent="0.25">
      <c r="B19" t="s">
        <v>32</v>
      </c>
      <c r="C19" t="s">
        <v>34</v>
      </c>
      <c r="D19" t="s">
        <v>154</v>
      </c>
      <c r="E19" t="s">
        <v>30</v>
      </c>
      <c r="F19" t="s">
        <v>8</v>
      </c>
      <c r="G19">
        <v>-0.48299999999999998</v>
      </c>
      <c r="K19" t="s">
        <v>32</v>
      </c>
      <c r="L19" t="s">
        <v>291</v>
      </c>
      <c r="M19" t="s">
        <v>535</v>
      </c>
      <c r="N19" t="s">
        <v>536</v>
      </c>
      <c r="O19" t="s">
        <v>537</v>
      </c>
      <c r="P19">
        <v>99.924999999999997</v>
      </c>
    </row>
    <row r="20" spans="1:16" x14ac:dyDescent="0.25">
      <c r="B20" t="s">
        <v>32</v>
      </c>
      <c r="C20" t="s">
        <v>38</v>
      </c>
      <c r="D20" t="s">
        <v>155</v>
      </c>
      <c r="E20" t="s">
        <v>30</v>
      </c>
      <c r="F20" t="s">
        <v>9</v>
      </c>
      <c r="G20">
        <v>-0.48499999999999999</v>
      </c>
      <c r="K20" t="s">
        <v>32</v>
      </c>
      <c r="L20" t="s">
        <v>292</v>
      </c>
      <c r="M20" t="s">
        <v>538</v>
      </c>
      <c r="N20" t="s">
        <v>539</v>
      </c>
      <c r="O20" t="s">
        <v>540</v>
      </c>
      <c r="P20">
        <v>99.93</v>
      </c>
    </row>
    <row r="21" spans="1:16" x14ac:dyDescent="0.25">
      <c r="B21" t="s">
        <v>32</v>
      </c>
      <c r="C21" t="s">
        <v>39</v>
      </c>
      <c r="D21" t="s">
        <v>156</v>
      </c>
      <c r="E21" t="s">
        <v>30</v>
      </c>
      <c r="F21" t="s">
        <v>10</v>
      </c>
      <c r="G21">
        <v>-0.48799999999999999</v>
      </c>
      <c r="K21" t="s">
        <v>32</v>
      </c>
      <c r="L21" t="s">
        <v>293</v>
      </c>
      <c r="M21" t="s">
        <v>541</v>
      </c>
      <c r="N21" t="s">
        <v>542</v>
      </c>
      <c r="O21" t="s">
        <v>543</v>
      </c>
      <c r="P21">
        <v>99.93</v>
      </c>
    </row>
    <row r="22" spans="1:16" x14ac:dyDescent="0.25">
      <c r="B22" t="s">
        <v>32</v>
      </c>
      <c r="C22" t="s">
        <v>40</v>
      </c>
      <c r="D22" t="s">
        <v>157</v>
      </c>
      <c r="E22" t="s">
        <v>30</v>
      </c>
      <c r="F22" t="s">
        <v>11</v>
      </c>
      <c r="G22">
        <v>-0.49099999999999999</v>
      </c>
      <c r="K22" t="s">
        <v>32</v>
      </c>
      <c r="L22" t="s">
        <v>294</v>
      </c>
      <c r="M22" t="s">
        <v>544</v>
      </c>
      <c r="N22" t="s">
        <v>545</v>
      </c>
      <c r="O22" t="s">
        <v>546</v>
      </c>
      <c r="P22">
        <v>99.93</v>
      </c>
    </row>
    <row r="23" spans="1:16" x14ac:dyDescent="0.25">
      <c r="B23" t="s">
        <v>32</v>
      </c>
      <c r="C23" t="s">
        <v>41</v>
      </c>
      <c r="D23" t="s">
        <v>158</v>
      </c>
      <c r="E23" t="s">
        <v>30</v>
      </c>
      <c r="F23" t="s">
        <v>44</v>
      </c>
      <c r="G23">
        <v>-0.505</v>
      </c>
      <c r="K23" t="s">
        <v>32</v>
      </c>
      <c r="L23" t="s">
        <v>295</v>
      </c>
      <c r="M23" t="s">
        <v>547</v>
      </c>
      <c r="N23" t="s">
        <v>548</v>
      </c>
      <c r="O23" t="s">
        <v>549</v>
      </c>
      <c r="P23">
        <v>99.93</v>
      </c>
    </row>
    <row r="24" spans="1:16" x14ac:dyDescent="0.25">
      <c r="B24" t="s">
        <v>32</v>
      </c>
      <c r="C24" t="s">
        <v>43</v>
      </c>
      <c r="D24" t="s">
        <v>159</v>
      </c>
      <c r="E24" t="s">
        <v>30</v>
      </c>
      <c r="F24" t="s">
        <v>45</v>
      </c>
      <c r="G24">
        <v>-0.51500000000000001</v>
      </c>
      <c r="K24" t="s">
        <v>32</v>
      </c>
      <c r="L24" t="s">
        <v>296</v>
      </c>
      <c r="M24" t="s">
        <v>550</v>
      </c>
      <c r="N24" t="s">
        <v>551</v>
      </c>
      <c r="O24" t="s">
        <v>552</v>
      </c>
      <c r="P24">
        <v>99.93</v>
      </c>
    </row>
    <row r="25" spans="1:16" x14ac:dyDescent="0.25">
      <c r="B25" t="s">
        <v>32</v>
      </c>
      <c r="C25" t="s">
        <v>42</v>
      </c>
      <c r="D25" t="s">
        <v>160</v>
      </c>
      <c r="E25" t="s">
        <v>30</v>
      </c>
      <c r="F25" t="s">
        <v>46</v>
      </c>
      <c r="G25">
        <v>-0.52200000000000002</v>
      </c>
      <c r="K25" t="s">
        <v>32</v>
      </c>
      <c r="L25" t="s">
        <v>297</v>
      </c>
      <c r="M25" t="s">
        <v>553</v>
      </c>
      <c r="N25" t="s">
        <v>554</v>
      </c>
      <c r="O25" t="s">
        <v>555</v>
      </c>
      <c r="P25">
        <v>99.93</v>
      </c>
    </row>
    <row r="26" spans="1:16" x14ac:dyDescent="0.25">
      <c r="K26" t="s">
        <v>32</v>
      </c>
      <c r="L26" t="s">
        <v>345</v>
      </c>
      <c r="M26" t="s">
        <v>556</v>
      </c>
      <c r="N26" t="s">
        <v>557</v>
      </c>
      <c r="O26" t="s">
        <v>558</v>
      </c>
      <c r="P26">
        <v>99.93</v>
      </c>
    </row>
    <row r="27" spans="1:16" x14ac:dyDescent="0.25">
      <c r="K27" t="s">
        <v>32</v>
      </c>
      <c r="L27" t="s">
        <v>346</v>
      </c>
      <c r="M27" t="s">
        <v>559</v>
      </c>
      <c r="N27" t="s">
        <v>560</v>
      </c>
      <c r="O27" t="s">
        <v>561</v>
      </c>
      <c r="P27">
        <v>99.93</v>
      </c>
    </row>
    <row r="28" spans="1:16" x14ac:dyDescent="0.25">
      <c r="K28" t="s">
        <v>32</v>
      </c>
      <c r="L28" t="s">
        <v>347</v>
      </c>
      <c r="M28" t="s">
        <v>562</v>
      </c>
      <c r="N28" t="s">
        <v>563</v>
      </c>
      <c r="O28" t="s">
        <v>564</v>
      </c>
      <c r="P28">
        <v>99.924999999999997</v>
      </c>
    </row>
    <row r="29" spans="1:16" x14ac:dyDescent="0.25">
      <c r="K29" t="s">
        <v>32</v>
      </c>
      <c r="L29" t="s">
        <v>348</v>
      </c>
      <c r="M29" t="s">
        <v>565</v>
      </c>
      <c r="N29" t="s">
        <v>566</v>
      </c>
      <c r="O29" t="s">
        <v>567</v>
      </c>
      <c r="P29">
        <v>99.924999999999997</v>
      </c>
    </row>
    <row r="31" spans="1:16" x14ac:dyDescent="0.25">
      <c r="A31" t="s">
        <v>95</v>
      </c>
      <c r="B31" t="s">
        <v>326</v>
      </c>
      <c r="C31" t="s">
        <v>328</v>
      </c>
      <c r="D31" t="s">
        <v>568</v>
      </c>
      <c r="E31" t="s">
        <v>30</v>
      </c>
      <c r="F31" t="s">
        <v>183</v>
      </c>
      <c r="G31">
        <v>5.95</v>
      </c>
      <c r="J31" t="s">
        <v>95</v>
      </c>
      <c r="K31" t="s">
        <v>324</v>
      </c>
      <c r="L31" t="s">
        <v>351</v>
      </c>
      <c r="M31" t="s">
        <v>569</v>
      </c>
      <c r="N31" t="s">
        <v>30</v>
      </c>
      <c r="O31" t="s">
        <v>183</v>
      </c>
      <c r="P31">
        <v>-0.125</v>
      </c>
    </row>
    <row r="32" spans="1:16" x14ac:dyDescent="0.25">
      <c r="B32" t="s">
        <v>326</v>
      </c>
      <c r="C32" t="s">
        <v>329</v>
      </c>
      <c r="D32" t="s">
        <v>568</v>
      </c>
      <c r="E32" t="s">
        <v>30</v>
      </c>
      <c r="F32" t="s">
        <v>185</v>
      </c>
      <c r="G32">
        <v>6.95</v>
      </c>
      <c r="K32" t="s">
        <v>324</v>
      </c>
      <c r="L32" t="s">
        <v>352</v>
      </c>
      <c r="M32" t="s">
        <v>570</v>
      </c>
      <c r="N32" t="s">
        <v>30</v>
      </c>
      <c r="O32" t="s">
        <v>185</v>
      </c>
      <c r="P32">
        <v>-0.02</v>
      </c>
    </row>
    <row r="33" spans="2:16" x14ac:dyDescent="0.25">
      <c r="B33" t="s">
        <v>326</v>
      </c>
      <c r="C33" t="s">
        <v>330</v>
      </c>
      <c r="D33" t="s">
        <v>568</v>
      </c>
      <c r="E33" t="s">
        <v>30</v>
      </c>
      <c r="F33" t="s">
        <v>187</v>
      </c>
      <c r="G33">
        <v>8.0500000000000007</v>
      </c>
      <c r="K33" t="s">
        <v>324</v>
      </c>
      <c r="L33" t="s">
        <v>353</v>
      </c>
      <c r="M33" t="s">
        <v>571</v>
      </c>
      <c r="N33" t="s">
        <v>30</v>
      </c>
      <c r="O33" t="s">
        <v>187</v>
      </c>
      <c r="P33">
        <v>0.45</v>
      </c>
    </row>
    <row r="34" spans="2:16" x14ac:dyDescent="0.25">
      <c r="B34" t="s">
        <v>326</v>
      </c>
      <c r="C34" t="s">
        <v>331</v>
      </c>
      <c r="D34" t="s">
        <v>568</v>
      </c>
      <c r="E34" t="s">
        <v>30</v>
      </c>
      <c r="F34" t="s">
        <v>189</v>
      </c>
      <c r="G34">
        <v>9.0500000000000007</v>
      </c>
      <c r="K34" t="s">
        <v>324</v>
      </c>
      <c r="L34" t="s">
        <v>354</v>
      </c>
      <c r="M34" t="s">
        <v>572</v>
      </c>
      <c r="N34" t="s">
        <v>30</v>
      </c>
      <c r="O34" t="s">
        <v>189</v>
      </c>
      <c r="P34">
        <v>0.95499999999999996</v>
      </c>
    </row>
    <row r="35" spans="2:16" x14ac:dyDescent="0.25">
      <c r="B35" t="s">
        <v>326</v>
      </c>
      <c r="C35" t="s">
        <v>332</v>
      </c>
      <c r="D35" t="s">
        <v>568</v>
      </c>
      <c r="E35" t="s">
        <v>30</v>
      </c>
      <c r="F35" t="s">
        <v>191</v>
      </c>
      <c r="G35">
        <v>9.85</v>
      </c>
      <c r="K35" t="s">
        <v>324</v>
      </c>
      <c r="L35" t="s">
        <v>355</v>
      </c>
      <c r="M35" t="s">
        <v>573</v>
      </c>
      <c r="N35" t="s">
        <v>30</v>
      </c>
      <c r="O35" t="s">
        <v>191</v>
      </c>
      <c r="P35">
        <v>1.5589999999999999</v>
      </c>
    </row>
    <row r="36" spans="2:16" x14ac:dyDescent="0.25">
      <c r="B36" t="s">
        <v>326</v>
      </c>
      <c r="C36" t="s">
        <v>333</v>
      </c>
      <c r="D36" t="s">
        <v>568</v>
      </c>
      <c r="E36" t="s">
        <v>30</v>
      </c>
      <c r="F36" t="s">
        <v>193</v>
      </c>
      <c r="G36">
        <v>10.41</v>
      </c>
      <c r="K36" t="s">
        <v>324</v>
      </c>
      <c r="L36" t="s">
        <v>356</v>
      </c>
      <c r="M36" t="s">
        <v>574</v>
      </c>
      <c r="N36" t="s">
        <v>30</v>
      </c>
      <c r="O36" t="s">
        <v>193</v>
      </c>
      <c r="P36">
        <v>1.9</v>
      </c>
    </row>
    <row r="37" spans="2:16" x14ac:dyDescent="0.25">
      <c r="B37" t="s">
        <v>326</v>
      </c>
      <c r="C37" t="s">
        <v>334</v>
      </c>
      <c r="D37" t="s">
        <v>568</v>
      </c>
      <c r="E37" t="s">
        <v>30</v>
      </c>
      <c r="F37" t="s">
        <v>195</v>
      </c>
      <c r="G37">
        <v>10.86</v>
      </c>
      <c r="K37" t="s">
        <v>324</v>
      </c>
      <c r="L37" t="s">
        <v>357</v>
      </c>
      <c r="M37" t="s">
        <v>575</v>
      </c>
      <c r="N37" t="s">
        <v>30</v>
      </c>
      <c r="O37" t="s">
        <v>195</v>
      </c>
      <c r="P37">
        <v>2.528</v>
      </c>
    </row>
    <row r="38" spans="2:16" x14ac:dyDescent="0.25">
      <c r="B38" t="s">
        <v>326</v>
      </c>
      <c r="C38" t="s">
        <v>335</v>
      </c>
      <c r="D38" t="s">
        <v>568</v>
      </c>
      <c r="E38" t="s">
        <v>30</v>
      </c>
      <c r="F38" t="s">
        <v>197</v>
      </c>
      <c r="G38">
        <v>11.25</v>
      </c>
      <c r="K38" t="s">
        <v>324</v>
      </c>
      <c r="L38" t="s">
        <v>358</v>
      </c>
      <c r="M38" t="s">
        <v>576</v>
      </c>
      <c r="N38" t="s">
        <v>30</v>
      </c>
      <c r="O38" t="s">
        <v>197</v>
      </c>
      <c r="P38">
        <v>2.8414999999999999</v>
      </c>
    </row>
    <row r="39" spans="2:16" x14ac:dyDescent="0.25">
      <c r="B39" t="s">
        <v>326</v>
      </c>
      <c r="C39" t="s">
        <v>336</v>
      </c>
      <c r="D39" t="s">
        <v>568</v>
      </c>
      <c r="E39" t="s">
        <v>30</v>
      </c>
      <c r="F39" t="s">
        <v>199</v>
      </c>
      <c r="G39">
        <v>11.61</v>
      </c>
      <c r="K39" t="s">
        <v>324</v>
      </c>
      <c r="L39" t="s">
        <v>359</v>
      </c>
      <c r="M39" t="s">
        <v>577</v>
      </c>
      <c r="N39" t="s">
        <v>30</v>
      </c>
      <c r="O39" t="s">
        <v>199</v>
      </c>
      <c r="P39">
        <v>3</v>
      </c>
    </row>
    <row r="40" spans="2:16" x14ac:dyDescent="0.25">
      <c r="B40" t="s">
        <v>326</v>
      </c>
      <c r="C40" t="s">
        <v>337</v>
      </c>
      <c r="D40" t="s">
        <v>568</v>
      </c>
      <c r="E40" t="s">
        <v>30</v>
      </c>
      <c r="F40" t="s">
        <v>201</v>
      </c>
      <c r="G40">
        <v>11.87</v>
      </c>
      <c r="K40" t="s">
        <v>324</v>
      </c>
      <c r="L40" t="s">
        <v>360</v>
      </c>
      <c r="M40" t="s">
        <v>578</v>
      </c>
      <c r="N40" t="s">
        <v>30</v>
      </c>
      <c r="O40" t="s">
        <v>201</v>
      </c>
      <c r="P40">
        <v>3.2789999999999999</v>
      </c>
    </row>
    <row r="41" spans="2:16" x14ac:dyDescent="0.25">
      <c r="B41" t="s">
        <v>326</v>
      </c>
      <c r="C41" t="s">
        <v>338</v>
      </c>
      <c r="D41" t="s">
        <v>568</v>
      </c>
      <c r="E41" t="s">
        <v>30</v>
      </c>
      <c r="F41" t="s">
        <v>205</v>
      </c>
      <c r="G41">
        <v>12.175000000000001</v>
      </c>
      <c r="K41" t="s">
        <v>324</v>
      </c>
      <c r="L41" t="s">
        <v>361</v>
      </c>
      <c r="M41" t="s">
        <v>579</v>
      </c>
      <c r="N41" t="s">
        <v>30</v>
      </c>
      <c r="O41" t="s">
        <v>203</v>
      </c>
      <c r="P41">
        <v>3.4689999999999999</v>
      </c>
    </row>
    <row r="42" spans="2:16" x14ac:dyDescent="0.25">
      <c r="B42" t="s">
        <v>326</v>
      </c>
      <c r="C42" t="s">
        <v>339</v>
      </c>
      <c r="D42" t="s">
        <v>568</v>
      </c>
      <c r="E42" t="s">
        <v>30</v>
      </c>
      <c r="F42" t="s">
        <v>207</v>
      </c>
      <c r="G42">
        <v>12.19</v>
      </c>
      <c r="K42" t="s">
        <v>324</v>
      </c>
      <c r="L42" t="s">
        <v>362</v>
      </c>
      <c r="M42" t="s">
        <v>580</v>
      </c>
      <c r="N42" t="s">
        <v>30</v>
      </c>
      <c r="O42" t="s">
        <v>205</v>
      </c>
      <c r="P42">
        <v>3.63</v>
      </c>
    </row>
    <row r="43" spans="2:16" x14ac:dyDescent="0.25">
      <c r="B43" t="s">
        <v>326</v>
      </c>
      <c r="C43" t="s">
        <v>340</v>
      </c>
      <c r="D43" t="s">
        <v>568</v>
      </c>
      <c r="E43" t="s">
        <v>30</v>
      </c>
      <c r="F43" t="s">
        <v>209</v>
      </c>
      <c r="G43">
        <v>12.1</v>
      </c>
      <c r="K43" t="s">
        <v>324</v>
      </c>
      <c r="L43" t="s">
        <v>363</v>
      </c>
      <c r="M43" t="s">
        <v>581</v>
      </c>
      <c r="N43" t="s">
        <v>30</v>
      </c>
      <c r="O43" t="s">
        <v>207</v>
      </c>
      <c r="P43">
        <v>4.1500000000000004</v>
      </c>
    </row>
    <row r="44" spans="2:16" x14ac:dyDescent="0.25">
      <c r="B44" t="s">
        <v>326</v>
      </c>
      <c r="C44" t="s">
        <v>341</v>
      </c>
      <c r="D44" t="s">
        <v>568</v>
      </c>
      <c r="E44" t="s">
        <v>30</v>
      </c>
      <c r="F44" t="s">
        <v>211</v>
      </c>
      <c r="G44">
        <v>12.125</v>
      </c>
      <c r="K44" t="s">
        <v>324</v>
      </c>
      <c r="L44" t="s">
        <v>364</v>
      </c>
      <c r="M44" t="s">
        <v>582</v>
      </c>
      <c r="N44" t="s">
        <v>30</v>
      </c>
      <c r="O44" t="s">
        <v>209</v>
      </c>
      <c r="P44">
        <v>4.9180000000000001</v>
      </c>
    </row>
    <row r="45" spans="2:16" x14ac:dyDescent="0.25">
      <c r="B45" t="s">
        <v>326</v>
      </c>
      <c r="C45" t="s">
        <v>342</v>
      </c>
      <c r="D45" t="s">
        <v>568</v>
      </c>
      <c r="E45" t="s">
        <v>30</v>
      </c>
      <c r="F45" t="s">
        <v>213</v>
      </c>
      <c r="G45">
        <v>12.1</v>
      </c>
      <c r="K45" t="s">
        <v>324</v>
      </c>
      <c r="L45" t="s">
        <v>365</v>
      </c>
      <c r="M45" t="s">
        <v>583</v>
      </c>
      <c r="N45" t="s">
        <v>30</v>
      </c>
      <c r="O45" t="s">
        <v>211</v>
      </c>
      <c r="P45">
        <v>5.5</v>
      </c>
    </row>
    <row r="46" spans="2:16" x14ac:dyDescent="0.25">
      <c r="B46" t="s">
        <v>326</v>
      </c>
      <c r="C46" t="s">
        <v>343</v>
      </c>
      <c r="D46" t="s">
        <v>568</v>
      </c>
      <c r="E46" t="s">
        <v>30</v>
      </c>
      <c r="F46" t="s">
        <v>217</v>
      </c>
      <c r="G46">
        <v>11.8</v>
      </c>
      <c r="K46" t="s">
        <v>324</v>
      </c>
      <c r="L46" t="s">
        <v>366</v>
      </c>
      <c r="M46" t="s">
        <v>584</v>
      </c>
      <c r="N46" t="s">
        <v>30</v>
      </c>
      <c r="O46" t="s">
        <v>213</v>
      </c>
      <c r="P46">
        <v>5.875</v>
      </c>
    </row>
    <row r="47" spans="2:16" x14ac:dyDescent="0.25">
      <c r="B47" t="s">
        <v>326</v>
      </c>
      <c r="C47" t="s">
        <v>344</v>
      </c>
      <c r="D47" t="s">
        <v>568</v>
      </c>
      <c r="E47" t="s">
        <v>30</v>
      </c>
      <c r="F47" t="s">
        <v>221</v>
      </c>
      <c r="G47">
        <v>11.425000000000001</v>
      </c>
      <c r="K47" t="s">
        <v>324</v>
      </c>
      <c r="L47" t="s">
        <v>367</v>
      </c>
      <c r="M47" t="s">
        <v>585</v>
      </c>
      <c r="N47" t="s">
        <v>30</v>
      </c>
      <c r="O47" t="s">
        <v>217</v>
      </c>
      <c r="P47">
        <v>6.65</v>
      </c>
    </row>
    <row r="48" spans="2:16" x14ac:dyDescent="0.25">
      <c r="K48" t="s">
        <v>324</v>
      </c>
      <c r="L48" t="s">
        <v>368</v>
      </c>
      <c r="M48" t="s">
        <v>586</v>
      </c>
      <c r="N48" t="s">
        <v>30</v>
      </c>
      <c r="O48" t="s">
        <v>221</v>
      </c>
      <c r="P48">
        <v>7.55</v>
      </c>
    </row>
    <row r="51" spans="1:17" x14ac:dyDescent="0.25">
      <c r="A51" t="s">
        <v>92</v>
      </c>
      <c r="B51" t="s">
        <v>32</v>
      </c>
      <c r="C51" t="s">
        <v>18</v>
      </c>
      <c r="D51" t="s">
        <v>161</v>
      </c>
      <c r="E51" t="s">
        <v>30</v>
      </c>
      <c r="F51" s="1">
        <v>44175</v>
      </c>
      <c r="G51">
        <v>-0.48599999999999999</v>
      </c>
      <c r="J51" t="s">
        <v>92</v>
      </c>
      <c r="K51" t="s">
        <v>32</v>
      </c>
      <c r="L51" t="s">
        <v>299</v>
      </c>
      <c r="M51" t="s">
        <v>587</v>
      </c>
      <c r="N51" t="s">
        <v>30</v>
      </c>
      <c r="O51" s="1">
        <v>44181</v>
      </c>
      <c r="Q51" t="s">
        <v>307</v>
      </c>
    </row>
    <row r="52" spans="1:17" x14ac:dyDescent="0.25">
      <c r="B52" t="s">
        <v>32</v>
      </c>
      <c r="C52" t="s">
        <v>19</v>
      </c>
      <c r="D52" t="s">
        <v>162</v>
      </c>
      <c r="E52" s="1">
        <v>44175</v>
      </c>
      <c r="F52" s="1">
        <v>44217</v>
      </c>
      <c r="G52">
        <v>-0.49</v>
      </c>
      <c r="K52" t="s">
        <v>32</v>
      </c>
      <c r="L52" t="s">
        <v>300</v>
      </c>
      <c r="M52" t="s">
        <v>588</v>
      </c>
      <c r="N52" s="1">
        <v>44181</v>
      </c>
      <c r="O52" s="1">
        <v>44223</v>
      </c>
    </row>
    <row r="53" spans="1:17" x14ac:dyDescent="0.25">
      <c r="B53" t="s">
        <v>32</v>
      </c>
      <c r="C53" t="s">
        <v>20</v>
      </c>
      <c r="D53" t="s">
        <v>163</v>
      </c>
      <c r="E53" s="1">
        <v>44217</v>
      </c>
      <c r="F53" s="1">
        <v>44266</v>
      </c>
      <c r="G53">
        <v>-0.501</v>
      </c>
      <c r="K53" t="s">
        <v>32</v>
      </c>
      <c r="L53" t="s">
        <v>301</v>
      </c>
      <c r="M53" t="s">
        <v>589</v>
      </c>
      <c r="N53" s="1">
        <v>44223</v>
      </c>
      <c r="O53" s="1">
        <v>44272</v>
      </c>
    </row>
    <row r="54" spans="1:17" x14ac:dyDescent="0.25">
      <c r="B54" t="s">
        <v>32</v>
      </c>
      <c r="C54" t="s">
        <v>21</v>
      </c>
      <c r="D54" t="s">
        <v>164</v>
      </c>
      <c r="E54" s="1">
        <v>44266</v>
      </c>
      <c r="F54" s="1">
        <v>44308</v>
      </c>
      <c r="G54">
        <v>-0.50700000000000001</v>
      </c>
      <c r="K54" t="s">
        <v>32</v>
      </c>
      <c r="L54" t="s">
        <v>302</v>
      </c>
      <c r="M54" t="s">
        <v>590</v>
      </c>
      <c r="N54" s="1">
        <v>44272</v>
      </c>
      <c r="O54" s="1">
        <v>44314</v>
      </c>
    </row>
    <row r="55" spans="1:17" x14ac:dyDescent="0.25">
      <c r="B55" t="s">
        <v>32</v>
      </c>
      <c r="C55" t="s">
        <v>22</v>
      </c>
      <c r="D55" t="s">
        <v>165</v>
      </c>
      <c r="E55" s="1">
        <v>44308</v>
      </c>
      <c r="F55" s="1">
        <v>44357</v>
      </c>
      <c r="G55">
        <v>-0.51900000000000002</v>
      </c>
      <c r="K55" t="s">
        <v>32</v>
      </c>
      <c r="L55" t="s">
        <v>303</v>
      </c>
      <c r="M55" t="s">
        <v>591</v>
      </c>
      <c r="N55" s="1">
        <v>44314</v>
      </c>
      <c r="O55" s="1">
        <v>44363</v>
      </c>
    </row>
    <row r="56" spans="1:17" x14ac:dyDescent="0.25">
      <c r="B56" t="s">
        <v>32</v>
      </c>
      <c r="C56" t="s">
        <v>23</v>
      </c>
      <c r="D56" t="s">
        <v>166</v>
      </c>
      <c r="E56" s="1">
        <v>44357</v>
      </c>
      <c r="F56" s="1">
        <v>44399</v>
      </c>
      <c r="G56">
        <v>-0.52200000000000002</v>
      </c>
      <c r="K56" t="s">
        <v>32</v>
      </c>
      <c r="L56" t="s">
        <v>304</v>
      </c>
      <c r="M56" t="s">
        <v>592</v>
      </c>
      <c r="N56" s="1">
        <v>44363</v>
      </c>
      <c r="O56" s="1">
        <v>44405</v>
      </c>
    </row>
    <row r="57" spans="1:17" x14ac:dyDescent="0.25">
      <c r="B57" t="s">
        <v>32</v>
      </c>
      <c r="C57" t="s">
        <v>24</v>
      </c>
      <c r="D57" t="s">
        <v>167</v>
      </c>
      <c r="E57" s="1">
        <v>44399</v>
      </c>
      <c r="F57" s="1">
        <v>44448</v>
      </c>
      <c r="G57">
        <v>-0.52600000000000002</v>
      </c>
      <c r="K57" t="s">
        <v>32</v>
      </c>
      <c r="L57" t="s">
        <v>305</v>
      </c>
      <c r="M57" t="s">
        <v>593</v>
      </c>
      <c r="N57" s="1">
        <v>44405</v>
      </c>
      <c r="O57" s="1">
        <v>44461</v>
      </c>
    </row>
    <row r="58" spans="1:17" x14ac:dyDescent="0.25">
      <c r="B58" t="s">
        <v>32</v>
      </c>
      <c r="C58" t="s">
        <v>25</v>
      </c>
      <c r="D58" t="s">
        <v>168</v>
      </c>
      <c r="E58" s="1">
        <v>44448</v>
      </c>
      <c r="F58" s="1">
        <v>44497</v>
      </c>
      <c r="G58">
        <v>-0.52700000000000002</v>
      </c>
      <c r="K58" t="s">
        <v>32</v>
      </c>
      <c r="L58" t="s">
        <v>306</v>
      </c>
      <c r="N58" s="1">
        <v>44461</v>
      </c>
      <c r="O58" s="1">
        <v>44503</v>
      </c>
    </row>
    <row r="60" spans="1:17" x14ac:dyDescent="0.25">
      <c r="A60" t="s">
        <v>93</v>
      </c>
      <c r="B60" t="s">
        <v>8</v>
      </c>
      <c r="C60" t="s">
        <v>47</v>
      </c>
      <c r="D60" t="s">
        <v>59</v>
      </c>
      <c r="E60" t="s">
        <v>169</v>
      </c>
      <c r="F60" t="s">
        <v>170</v>
      </c>
      <c r="G60">
        <v>100.52500000000001</v>
      </c>
      <c r="H60">
        <v>2.1539866882941808E-2</v>
      </c>
      <c r="J60" t="s">
        <v>93</v>
      </c>
      <c r="K60" t="s">
        <v>8</v>
      </c>
      <c r="L60" t="s">
        <v>308</v>
      </c>
      <c r="M60" t="s">
        <v>454</v>
      </c>
      <c r="N60" t="s">
        <v>169</v>
      </c>
      <c r="O60" t="s">
        <v>170</v>
      </c>
      <c r="P60">
        <v>99.75</v>
      </c>
      <c r="Q60">
        <v>5.8953050736898372E-3</v>
      </c>
    </row>
    <row r="61" spans="1:17" x14ac:dyDescent="0.25">
      <c r="B61" t="s">
        <v>8</v>
      </c>
      <c r="C61" t="s">
        <v>48</v>
      </c>
      <c r="D61" t="s">
        <v>59</v>
      </c>
      <c r="E61" t="s">
        <v>170</v>
      </c>
      <c r="F61" t="s">
        <v>171</v>
      </c>
      <c r="G61">
        <v>100.53</v>
      </c>
      <c r="H61">
        <v>0.13423849655202788</v>
      </c>
      <c r="K61" t="s">
        <v>8</v>
      </c>
      <c r="L61" t="s">
        <v>309</v>
      </c>
      <c r="M61" t="s">
        <v>454</v>
      </c>
      <c r="N61" t="s">
        <v>170</v>
      </c>
      <c r="O61" t="s">
        <v>171</v>
      </c>
      <c r="P61">
        <v>99.78</v>
      </c>
      <c r="Q61">
        <v>3.6655060775333516E-2</v>
      </c>
    </row>
    <row r="62" spans="1:17" x14ac:dyDescent="0.25">
      <c r="B62" t="s">
        <v>8</v>
      </c>
      <c r="C62" t="s">
        <v>49</v>
      </c>
      <c r="D62" t="s">
        <v>59</v>
      </c>
      <c r="E62" t="s">
        <v>171</v>
      </c>
      <c r="F62" t="s">
        <v>172</v>
      </c>
      <c r="G62">
        <v>100.535</v>
      </c>
      <c r="H62">
        <v>0.30770875451632018</v>
      </c>
      <c r="K62" t="s">
        <v>8</v>
      </c>
      <c r="L62" t="s">
        <v>310</v>
      </c>
      <c r="M62" t="s">
        <v>454</v>
      </c>
      <c r="N62" t="s">
        <v>171</v>
      </c>
      <c r="O62" t="s">
        <v>172</v>
      </c>
      <c r="P62">
        <v>99.784999999999997</v>
      </c>
      <c r="Q62">
        <v>8.4022852404904924E-2</v>
      </c>
    </row>
    <row r="63" spans="1:17" x14ac:dyDescent="0.25">
      <c r="B63" t="s">
        <v>8</v>
      </c>
      <c r="C63" t="s">
        <v>50</v>
      </c>
      <c r="D63" t="s">
        <v>59</v>
      </c>
      <c r="E63" t="s">
        <v>172</v>
      </c>
      <c r="F63" t="s">
        <v>173</v>
      </c>
      <c r="G63">
        <v>100.545</v>
      </c>
      <c r="H63">
        <v>0.54056082389304583</v>
      </c>
      <c r="K63" t="s">
        <v>8</v>
      </c>
      <c r="L63" t="s">
        <v>311</v>
      </c>
      <c r="M63" t="s">
        <v>454</v>
      </c>
      <c r="N63" t="s">
        <v>172</v>
      </c>
      <c r="O63" t="s">
        <v>173</v>
      </c>
      <c r="P63">
        <v>99.78</v>
      </c>
      <c r="Q63">
        <v>0.14760941266188132</v>
      </c>
    </row>
    <row r="64" spans="1:17" x14ac:dyDescent="0.25">
      <c r="B64" t="s">
        <v>8</v>
      </c>
      <c r="C64" t="s">
        <v>51</v>
      </c>
      <c r="D64" t="s">
        <v>59</v>
      </c>
      <c r="E64" t="s">
        <v>173</v>
      </c>
      <c r="F64" t="s">
        <v>174</v>
      </c>
      <c r="G64">
        <v>100.55</v>
      </c>
      <c r="H64">
        <v>0.83141861364263092</v>
      </c>
      <c r="K64" t="s">
        <v>8</v>
      </c>
      <c r="L64" t="s">
        <v>312</v>
      </c>
      <c r="M64" t="s">
        <v>454</v>
      </c>
      <c r="N64" t="s">
        <v>173</v>
      </c>
      <c r="O64" t="s">
        <v>174</v>
      </c>
      <c r="P64">
        <v>99.745000000000005</v>
      </c>
      <c r="Q64">
        <v>0.22705955464555022</v>
      </c>
    </row>
    <row r="65" spans="1:17" x14ac:dyDescent="0.25">
      <c r="B65" t="s">
        <v>8</v>
      </c>
      <c r="C65" t="s">
        <v>52</v>
      </c>
      <c r="D65" t="s">
        <v>59</v>
      </c>
      <c r="E65" t="s">
        <v>174</v>
      </c>
      <c r="F65" t="s">
        <v>175</v>
      </c>
      <c r="G65">
        <v>100.55</v>
      </c>
      <c r="H65">
        <v>1.1789869733620644</v>
      </c>
      <c r="K65" t="s">
        <v>8</v>
      </c>
      <c r="L65" t="s">
        <v>313</v>
      </c>
      <c r="M65" t="s">
        <v>454</v>
      </c>
      <c r="N65" t="s">
        <v>174</v>
      </c>
      <c r="O65" t="s">
        <v>175</v>
      </c>
      <c r="P65">
        <v>99.685000000000002</v>
      </c>
      <c r="Q65">
        <v>0.32202586773043607</v>
      </c>
    </row>
    <row r="66" spans="1:17" x14ac:dyDescent="0.25">
      <c r="B66" t="s">
        <v>8</v>
      </c>
      <c r="C66" t="s">
        <v>53</v>
      </c>
      <c r="D66" t="s">
        <v>59</v>
      </c>
      <c r="E66" t="s">
        <v>175</v>
      </c>
      <c r="F66" t="s">
        <v>176</v>
      </c>
      <c r="G66">
        <v>100.545</v>
      </c>
      <c r="H66">
        <v>1.610402343257394</v>
      </c>
      <c r="K66" t="s">
        <v>8</v>
      </c>
      <c r="L66" t="s">
        <v>314</v>
      </c>
      <c r="M66" t="s">
        <v>454</v>
      </c>
      <c r="N66" t="s">
        <v>175</v>
      </c>
      <c r="O66" t="s">
        <v>176</v>
      </c>
      <c r="P66">
        <v>99.67</v>
      </c>
      <c r="Q66">
        <v>0.43995550134914185</v>
      </c>
    </row>
    <row r="67" spans="1:17" x14ac:dyDescent="0.25">
      <c r="B67" t="s">
        <v>8</v>
      </c>
      <c r="C67" t="s">
        <v>54</v>
      </c>
      <c r="D67" t="s">
        <v>59</v>
      </c>
      <c r="E67" t="s">
        <v>176</v>
      </c>
      <c r="F67" t="s">
        <v>177</v>
      </c>
      <c r="G67">
        <v>100.54</v>
      </c>
      <c r="H67">
        <v>2.0762927490887688</v>
      </c>
      <c r="K67" t="s">
        <v>8</v>
      </c>
      <c r="L67" t="s">
        <v>315</v>
      </c>
      <c r="M67" t="s">
        <v>454</v>
      </c>
      <c r="N67" t="s">
        <v>176</v>
      </c>
      <c r="O67" t="s">
        <v>177</v>
      </c>
      <c r="P67">
        <v>99.655000000000001</v>
      </c>
      <c r="Q67">
        <v>0.56715444409199001</v>
      </c>
    </row>
    <row r="68" spans="1:17" x14ac:dyDescent="0.25">
      <c r="B68" t="s">
        <v>8</v>
      </c>
      <c r="C68" t="s">
        <v>55</v>
      </c>
      <c r="D68" t="s">
        <v>59</v>
      </c>
      <c r="E68" t="s">
        <v>177</v>
      </c>
      <c r="F68" t="s">
        <v>178</v>
      </c>
      <c r="G68">
        <v>100.53</v>
      </c>
      <c r="H68">
        <v>2.5530181157240679</v>
      </c>
      <c r="K68" t="s">
        <v>8</v>
      </c>
      <c r="L68" t="s">
        <v>316</v>
      </c>
      <c r="M68" t="s">
        <v>454</v>
      </c>
      <c r="N68" t="s">
        <v>177</v>
      </c>
      <c r="O68" t="s">
        <v>178</v>
      </c>
      <c r="P68">
        <v>99.63</v>
      </c>
      <c r="Q68">
        <v>0.69728153363460454</v>
      </c>
    </row>
    <row r="69" spans="1:17" x14ac:dyDescent="0.25">
      <c r="B69" t="s">
        <v>8</v>
      </c>
      <c r="C69" t="s">
        <v>56</v>
      </c>
      <c r="D69" t="s">
        <v>59</v>
      </c>
      <c r="E69" t="s">
        <v>178</v>
      </c>
      <c r="F69" t="s">
        <v>179</v>
      </c>
      <c r="G69">
        <v>100.52</v>
      </c>
      <c r="H69">
        <v>3.151127849175126</v>
      </c>
      <c r="K69" t="s">
        <v>8</v>
      </c>
      <c r="L69" t="s">
        <v>317</v>
      </c>
      <c r="M69" t="s">
        <v>454</v>
      </c>
      <c r="N69" t="s">
        <v>178</v>
      </c>
      <c r="O69" t="s">
        <v>179</v>
      </c>
      <c r="P69">
        <v>99.61</v>
      </c>
      <c r="Q69">
        <v>0.86095878631822242</v>
      </c>
    </row>
    <row r="70" spans="1:17" x14ac:dyDescent="0.25">
      <c r="B70" t="s">
        <v>8</v>
      </c>
      <c r="C70" t="s">
        <v>57</v>
      </c>
      <c r="D70" t="s">
        <v>59</v>
      </c>
      <c r="E70" t="s">
        <v>179</v>
      </c>
      <c r="F70" t="s">
        <v>180</v>
      </c>
      <c r="G70">
        <v>100.505</v>
      </c>
      <c r="H70">
        <v>3.7712881649141301</v>
      </c>
      <c r="K70" t="s">
        <v>8</v>
      </c>
      <c r="L70" t="s">
        <v>318</v>
      </c>
      <c r="M70" t="s">
        <v>454</v>
      </c>
      <c r="N70" t="s">
        <v>179</v>
      </c>
      <c r="O70" t="s">
        <v>180</v>
      </c>
      <c r="P70">
        <v>99.570000000000007</v>
      </c>
      <c r="Q70">
        <v>1.0302876559795906</v>
      </c>
    </row>
    <row r="71" spans="1:17" x14ac:dyDescent="0.25">
      <c r="B71" t="s">
        <v>8</v>
      </c>
      <c r="C71" t="s">
        <v>58</v>
      </c>
      <c r="D71" t="s">
        <v>59</v>
      </c>
      <c r="E71" t="s">
        <v>180</v>
      </c>
      <c r="F71" t="s">
        <v>181</v>
      </c>
      <c r="G71">
        <v>100.485</v>
      </c>
      <c r="H71">
        <v>4.4360748025474797</v>
      </c>
      <c r="K71" t="s">
        <v>8</v>
      </c>
      <c r="L71" t="s">
        <v>319</v>
      </c>
      <c r="M71" t="s">
        <v>454</v>
      </c>
      <c r="N71" t="s">
        <v>180</v>
      </c>
      <c r="O71" t="s">
        <v>181</v>
      </c>
      <c r="P71">
        <v>99.53</v>
      </c>
      <c r="Q71">
        <v>1.211986194034848</v>
      </c>
    </row>
    <row r="72" spans="1:17" x14ac:dyDescent="0.25">
      <c r="K72" t="s">
        <v>8</v>
      </c>
      <c r="L72" t="s">
        <v>320</v>
      </c>
      <c r="M72" t="s">
        <v>454</v>
      </c>
      <c r="N72" t="s">
        <v>181</v>
      </c>
      <c r="O72" t="s">
        <v>594</v>
      </c>
      <c r="P72">
        <v>99.48</v>
      </c>
      <c r="Q72">
        <v>1.4066784813783964</v>
      </c>
    </row>
    <row r="73" spans="1:17" x14ac:dyDescent="0.25">
      <c r="K73" t="s">
        <v>8</v>
      </c>
      <c r="L73" t="s">
        <v>321</v>
      </c>
      <c r="M73" t="s">
        <v>454</v>
      </c>
      <c r="N73" t="s">
        <v>594</v>
      </c>
      <c r="O73" t="s">
        <v>595</v>
      </c>
      <c r="P73">
        <v>99.424999999999997</v>
      </c>
      <c r="Q73">
        <v>1.6143410219308583</v>
      </c>
    </row>
    <row r="74" spans="1:17" x14ac:dyDescent="0.25">
      <c r="K74" t="s">
        <v>8</v>
      </c>
      <c r="L74" t="s">
        <v>322</v>
      </c>
      <c r="M74" t="s">
        <v>454</v>
      </c>
      <c r="N74" t="s">
        <v>595</v>
      </c>
      <c r="O74" t="s">
        <v>596</v>
      </c>
      <c r="P74">
        <v>99.365000000000009</v>
      </c>
      <c r="Q74">
        <v>1.8345394018504664</v>
      </c>
    </row>
    <row r="75" spans="1:17" x14ac:dyDescent="0.25">
      <c r="K75" t="s">
        <v>8</v>
      </c>
      <c r="L75" t="s">
        <v>323</v>
      </c>
      <c r="M75" t="s">
        <v>454</v>
      </c>
      <c r="N75" t="s">
        <v>596</v>
      </c>
      <c r="O75" t="s">
        <v>597</v>
      </c>
      <c r="P75">
        <v>99.295000000000002</v>
      </c>
      <c r="Q75">
        <v>2.0670081890413474</v>
      </c>
    </row>
    <row r="78" spans="1:17" x14ac:dyDescent="0.25">
      <c r="A78" t="s">
        <v>91</v>
      </c>
      <c r="B78" t="s">
        <v>11</v>
      </c>
      <c r="C78" t="s">
        <v>84</v>
      </c>
      <c r="D78" t="s">
        <v>182</v>
      </c>
      <c r="E78" t="s">
        <v>30</v>
      </c>
      <c r="F78" t="s">
        <v>183</v>
      </c>
      <c r="G78">
        <v>-0.51400000000000001</v>
      </c>
      <c r="J78" t="s">
        <v>91</v>
      </c>
      <c r="K78" t="s">
        <v>8</v>
      </c>
      <c r="L78" t="s">
        <v>428</v>
      </c>
      <c r="M78" t="s">
        <v>598</v>
      </c>
      <c r="N78" t="s">
        <v>30</v>
      </c>
      <c r="O78" t="s">
        <v>183</v>
      </c>
      <c r="P78">
        <v>0.22209999999999999</v>
      </c>
    </row>
    <row r="79" spans="1:17" x14ac:dyDescent="0.25">
      <c r="B79" t="s">
        <v>11</v>
      </c>
      <c r="C79" t="s">
        <v>85</v>
      </c>
      <c r="D79" t="s">
        <v>184</v>
      </c>
      <c r="E79" t="s">
        <v>30</v>
      </c>
      <c r="F79" t="s">
        <v>185</v>
      </c>
      <c r="G79">
        <v>-0.51600000000000001</v>
      </c>
      <c r="K79" t="s">
        <v>8</v>
      </c>
      <c r="L79" t="s">
        <v>429</v>
      </c>
      <c r="M79" t="s">
        <v>599</v>
      </c>
      <c r="N79" t="s">
        <v>30</v>
      </c>
      <c r="O79" t="s">
        <v>185</v>
      </c>
      <c r="P79">
        <v>0.2621</v>
      </c>
    </row>
    <row r="80" spans="1:17" x14ac:dyDescent="0.25">
      <c r="B80" t="s">
        <v>11</v>
      </c>
      <c r="C80" t="s">
        <v>60</v>
      </c>
      <c r="D80" t="s">
        <v>186</v>
      </c>
      <c r="E80" t="s">
        <v>30</v>
      </c>
      <c r="F80" t="s">
        <v>187</v>
      </c>
      <c r="G80">
        <v>-0.50600000000000001</v>
      </c>
      <c r="K80" t="s">
        <v>8</v>
      </c>
      <c r="L80" t="s">
        <v>430</v>
      </c>
      <c r="M80" t="s">
        <v>600</v>
      </c>
      <c r="N80" t="s">
        <v>30</v>
      </c>
      <c r="O80" t="s">
        <v>187</v>
      </c>
      <c r="P80">
        <v>0.30740000000000001</v>
      </c>
    </row>
    <row r="81" spans="2:16" x14ac:dyDescent="0.25">
      <c r="B81" t="s">
        <v>11</v>
      </c>
      <c r="C81" t="s">
        <v>61</v>
      </c>
      <c r="D81" t="s">
        <v>188</v>
      </c>
      <c r="E81" t="s">
        <v>30</v>
      </c>
      <c r="F81" t="s">
        <v>189</v>
      </c>
      <c r="G81">
        <v>-0.48099999999999998</v>
      </c>
      <c r="K81" t="s">
        <v>8</v>
      </c>
      <c r="L81" t="s">
        <v>431</v>
      </c>
      <c r="M81" t="s">
        <v>601</v>
      </c>
      <c r="N81" t="s">
        <v>30</v>
      </c>
      <c r="O81" t="s">
        <v>189</v>
      </c>
      <c r="P81">
        <v>0.37090000000000001</v>
      </c>
    </row>
    <row r="82" spans="2:16" x14ac:dyDescent="0.25">
      <c r="B82" t="s">
        <v>11</v>
      </c>
      <c r="C82" t="s">
        <v>62</v>
      </c>
      <c r="D82" t="s">
        <v>190</v>
      </c>
      <c r="E82" t="s">
        <v>30</v>
      </c>
      <c r="F82" t="s">
        <v>191</v>
      </c>
      <c r="G82">
        <v>-0.44800000000000001</v>
      </c>
      <c r="K82" t="s">
        <v>8</v>
      </c>
      <c r="L82" t="s">
        <v>432</v>
      </c>
      <c r="M82" t="s">
        <v>602</v>
      </c>
      <c r="N82" t="s">
        <v>30</v>
      </c>
      <c r="O82" t="s">
        <v>191</v>
      </c>
      <c r="P82">
        <v>0.4551</v>
      </c>
    </row>
    <row r="83" spans="2:16" x14ac:dyDescent="0.25">
      <c r="B83" t="s">
        <v>11</v>
      </c>
      <c r="C83" t="s">
        <v>63</v>
      </c>
      <c r="D83" t="s">
        <v>192</v>
      </c>
      <c r="E83" t="s">
        <v>30</v>
      </c>
      <c r="F83" t="s">
        <v>193</v>
      </c>
      <c r="G83">
        <v>-0.41</v>
      </c>
      <c r="K83" t="s">
        <v>8</v>
      </c>
      <c r="L83" t="s">
        <v>433</v>
      </c>
      <c r="M83" t="s">
        <v>603</v>
      </c>
      <c r="N83" t="s">
        <v>30</v>
      </c>
      <c r="O83" t="s">
        <v>193</v>
      </c>
      <c r="P83">
        <v>0.54920000000000002</v>
      </c>
    </row>
    <row r="84" spans="2:16" x14ac:dyDescent="0.25">
      <c r="B84" t="s">
        <v>11</v>
      </c>
      <c r="C84" t="s">
        <v>64</v>
      </c>
      <c r="D84" t="s">
        <v>194</v>
      </c>
      <c r="E84" t="s">
        <v>30</v>
      </c>
      <c r="F84" t="s">
        <v>195</v>
      </c>
      <c r="G84">
        <v>-0.36699999999999999</v>
      </c>
      <c r="K84" t="s">
        <v>8</v>
      </c>
      <c r="L84" t="s">
        <v>434</v>
      </c>
      <c r="M84" t="s">
        <v>604</v>
      </c>
      <c r="N84" t="s">
        <v>30</v>
      </c>
      <c r="O84" t="s">
        <v>195</v>
      </c>
      <c r="P84">
        <v>0.64059999999999995</v>
      </c>
    </row>
    <row r="85" spans="2:16" x14ac:dyDescent="0.25">
      <c r="B85" t="s">
        <v>11</v>
      </c>
      <c r="C85" t="s">
        <v>65</v>
      </c>
      <c r="D85" t="s">
        <v>196</v>
      </c>
      <c r="E85" t="s">
        <v>30</v>
      </c>
      <c r="F85" t="s">
        <v>197</v>
      </c>
      <c r="G85">
        <v>-0.32100000000000001</v>
      </c>
      <c r="K85" t="s">
        <v>8</v>
      </c>
      <c r="L85" t="s">
        <v>435</v>
      </c>
      <c r="M85" t="s">
        <v>605</v>
      </c>
      <c r="N85" t="s">
        <v>30</v>
      </c>
      <c r="O85" t="s">
        <v>197</v>
      </c>
      <c r="P85">
        <v>0.72640000000000005</v>
      </c>
    </row>
    <row r="86" spans="2:16" x14ac:dyDescent="0.25">
      <c r="B86" t="s">
        <v>11</v>
      </c>
      <c r="C86" t="s">
        <v>66</v>
      </c>
      <c r="D86" t="s">
        <v>198</v>
      </c>
      <c r="E86" t="s">
        <v>30</v>
      </c>
      <c r="F86" t="s">
        <v>199</v>
      </c>
      <c r="G86">
        <v>-0.27300000000000002</v>
      </c>
      <c r="K86" t="s">
        <v>8</v>
      </c>
      <c r="L86" t="s">
        <v>436</v>
      </c>
      <c r="M86" t="s">
        <v>606</v>
      </c>
      <c r="N86" t="s">
        <v>30</v>
      </c>
      <c r="O86" t="s">
        <v>199</v>
      </c>
      <c r="P86">
        <v>0.8044</v>
      </c>
    </row>
    <row r="87" spans="2:16" x14ac:dyDescent="0.25">
      <c r="B87" t="s">
        <v>11</v>
      </c>
      <c r="C87" t="s">
        <v>67</v>
      </c>
      <c r="D87" t="s">
        <v>200</v>
      </c>
      <c r="E87" t="s">
        <v>30</v>
      </c>
      <c r="F87" t="s">
        <v>201</v>
      </c>
      <c r="G87">
        <v>-0.224</v>
      </c>
      <c r="K87" t="s">
        <v>8</v>
      </c>
      <c r="L87" t="s">
        <v>437</v>
      </c>
      <c r="M87" t="s">
        <v>607</v>
      </c>
      <c r="N87" t="s">
        <v>30</v>
      </c>
      <c r="O87" t="s">
        <v>201</v>
      </c>
      <c r="P87">
        <v>0.87450000000000006</v>
      </c>
    </row>
    <row r="88" spans="2:16" x14ac:dyDescent="0.25">
      <c r="B88" t="s">
        <v>11</v>
      </c>
      <c r="C88" t="s">
        <v>68</v>
      </c>
      <c r="D88" t="s">
        <v>202</v>
      </c>
      <c r="E88" t="s">
        <v>30</v>
      </c>
      <c r="F88" t="s">
        <v>203</v>
      </c>
      <c r="G88">
        <v>-0.17699999999999999</v>
      </c>
      <c r="K88" t="s">
        <v>8</v>
      </c>
      <c r="L88" t="s">
        <v>438</v>
      </c>
      <c r="M88" t="s">
        <v>608</v>
      </c>
      <c r="N88" t="s">
        <v>30</v>
      </c>
      <c r="O88" t="s">
        <v>203</v>
      </c>
      <c r="P88">
        <v>0.93579999999999997</v>
      </c>
    </row>
    <row r="89" spans="2:16" x14ac:dyDescent="0.25">
      <c r="B89" t="s">
        <v>11</v>
      </c>
      <c r="C89" t="s">
        <v>69</v>
      </c>
      <c r="D89" t="s">
        <v>204</v>
      </c>
      <c r="E89" t="s">
        <v>30</v>
      </c>
      <c r="F89" t="s">
        <v>205</v>
      </c>
      <c r="G89">
        <v>-0.13300000000000001</v>
      </c>
      <c r="K89" t="s">
        <v>8</v>
      </c>
      <c r="L89" t="s">
        <v>439</v>
      </c>
      <c r="M89" t="s">
        <v>609</v>
      </c>
      <c r="N89" t="s">
        <v>30</v>
      </c>
      <c r="O89" t="s">
        <v>205</v>
      </c>
      <c r="P89">
        <v>0.99180000000000001</v>
      </c>
    </row>
    <row r="90" spans="2:16" x14ac:dyDescent="0.25">
      <c r="B90" t="s">
        <v>11</v>
      </c>
      <c r="C90" t="s">
        <v>70</v>
      </c>
      <c r="D90" t="s">
        <v>206</v>
      </c>
      <c r="E90" t="s">
        <v>30</v>
      </c>
      <c r="F90" t="s">
        <v>207</v>
      </c>
      <c r="G90">
        <v>-2.5999999999999999E-2</v>
      </c>
      <c r="K90" t="s">
        <v>8</v>
      </c>
      <c r="L90" t="s">
        <v>440</v>
      </c>
      <c r="M90" t="s">
        <v>610</v>
      </c>
      <c r="N90" t="s">
        <v>30</v>
      </c>
      <c r="O90" t="s">
        <v>207</v>
      </c>
      <c r="P90">
        <v>1.1108</v>
      </c>
    </row>
    <row r="91" spans="2:16" x14ac:dyDescent="0.25">
      <c r="B91" t="s">
        <v>11</v>
      </c>
      <c r="C91" t="s">
        <v>71</v>
      </c>
      <c r="D91" t="s">
        <v>208</v>
      </c>
      <c r="E91" t="s">
        <v>30</v>
      </c>
      <c r="F91" t="s">
        <v>209</v>
      </c>
      <c r="G91">
        <v>5.8000000000000003E-2</v>
      </c>
      <c r="K91" t="s">
        <v>8</v>
      </c>
      <c r="L91" t="s">
        <v>441</v>
      </c>
      <c r="M91" t="s">
        <v>611</v>
      </c>
      <c r="N91" t="s">
        <v>30</v>
      </c>
      <c r="O91" t="s">
        <v>209</v>
      </c>
      <c r="P91">
        <v>1.2274</v>
      </c>
    </row>
    <row r="92" spans="2:16" x14ac:dyDescent="0.25">
      <c r="B92" t="s">
        <v>11</v>
      </c>
      <c r="C92" t="s">
        <v>72</v>
      </c>
      <c r="D92" t="s">
        <v>210</v>
      </c>
      <c r="E92" t="s">
        <v>30</v>
      </c>
      <c r="F92" t="s">
        <v>211</v>
      </c>
      <c r="G92">
        <v>6.0999999999999999E-2</v>
      </c>
      <c r="K92" t="s">
        <v>8</v>
      </c>
      <c r="L92" t="s">
        <v>442</v>
      </c>
      <c r="M92" t="s">
        <v>612</v>
      </c>
      <c r="N92" t="s">
        <v>30</v>
      </c>
      <c r="O92" t="s">
        <v>211</v>
      </c>
      <c r="P92">
        <v>1.2766</v>
      </c>
    </row>
    <row r="93" spans="2:16" x14ac:dyDescent="0.25">
      <c r="B93" t="s">
        <v>11</v>
      </c>
      <c r="C93" t="s">
        <v>73</v>
      </c>
      <c r="D93" t="s">
        <v>212</v>
      </c>
      <c r="E93" t="s">
        <v>30</v>
      </c>
      <c r="F93" t="s">
        <v>213</v>
      </c>
      <c r="G93">
        <v>3.4000000000000002E-2</v>
      </c>
      <c r="K93" t="s">
        <v>8</v>
      </c>
      <c r="L93" t="s">
        <v>443</v>
      </c>
      <c r="M93" t="s">
        <v>613</v>
      </c>
      <c r="N93" t="s">
        <v>30</v>
      </c>
      <c r="O93" t="s">
        <v>213</v>
      </c>
      <c r="P93">
        <v>1.3002</v>
      </c>
    </row>
    <row r="94" spans="2:16" x14ac:dyDescent="0.25">
      <c r="B94" t="s">
        <v>11</v>
      </c>
      <c r="C94" t="s">
        <v>74</v>
      </c>
      <c r="D94" t="s">
        <v>214</v>
      </c>
      <c r="E94" t="s">
        <v>30</v>
      </c>
      <c r="F94" t="s">
        <v>215</v>
      </c>
      <c r="G94">
        <v>6.0000000000000001E-3</v>
      </c>
      <c r="K94" t="s">
        <v>8</v>
      </c>
      <c r="L94" t="s">
        <v>444</v>
      </c>
      <c r="M94" t="s">
        <v>614</v>
      </c>
      <c r="N94" t="s">
        <v>30</v>
      </c>
      <c r="O94" t="s">
        <v>215</v>
      </c>
      <c r="P94" t="s">
        <v>615</v>
      </c>
    </row>
    <row r="95" spans="2:16" x14ac:dyDescent="0.25">
      <c r="B95" t="s">
        <v>11</v>
      </c>
      <c r="C95" t="s">
        <v>75</v>
      </c>
      <c r="D95" t="s">
        <v>216</v>
      </c>
      <c r="E95" t="s">
        <v>30</v>
      </c>
      <c r="F95" t="s">
        <v>217</v>
      </c>
      <c r="G95">
        <v>-2.1000000000000001E-2</v>
      </c>
      <c r="K95" t="s">
        <v>8</v>
      </c>
      <c r="L95" t="s">
        <v>445</v>
      </c>
      <c r="M95" t="s">
        <v>616</v>
      </c>
      <c r="N95" t="s">
        <v>30</v>
      </c>
      <c r="O95" t="s">
        <v>217</v>
      </c>
      <c r="P95">
        <v>1.2621</v>
      </c>
    </row>
    <row r="96" spans="2:16" x14ac:dyDescent="0.25">
      <c r="B96" t="s">
        <v>11</v>
      </c>
      <c r="C96" t="s">
        <v>76</v>
      </c>
      <c r="D96" t="s">
        <v>218</v>
      </c>
      <c r="E96" t="s">
        <v>30</v>
      </c>
      <c r="F96" t="s">
        <v>219</v>
      </c>
      <c r="G96">
        <v>-4.7E-2</v>
      </c>
      <c r="K96" t="s">
        <v>8</v>
      </c>
      <c r="L96" t="s">
        <v>446</v>
      </c>
      <c r="M96" t="s">
        <v>617</v>
      </c>
      <c r="N96" t="s">
        <v>30</v>
      </c>
      <c r="O96" t="s">
        <v>219</v>
      </c>
      <c r="P96" t="s">
        <v>615</v>
      </c>
    </row>
    <row r="97" spans="1:16" x14ac:dyDescent="0.25">
      <c r="B97" t="s">
        <v>11</v>
      </c>
      <c r="C97" t="s">
        <v>77</v>
      </c>
      <c r="D97" t="s">
        <v>220</v>
      </c>
      <c r="E97" t="s">
        <v>30</v>
      </c>
      <c r="F97" t="s">
        <v>221</v>
      </c>
      <c r="G97">
        <v>-7.0999999999999994E-2</v>
      </c>
      <c r="K97" t="s">
        <v>8</v>
      </c>
      <c r="L97" t="s">
        <v>447</v>
      </c>
      <c r="M97" t="s">
        <v>618</v>
      </c>
      <c r="N97" t="s">
        <v>30</v>
      </c>
      <c r="O97" t="s">
        <v>221</v>
      </c>
      <c r="P97">
        <v>1.1867000000000001</v>
      </c>
    </row>
    <row r="99" spans="1:16" x14ac:dyDescent="0.25">
      <c r="A99" t="s">
        <v>94</v>
      </c>
      <c r="B99" t="s">
        <v>326</v>
      </c>
      <c r="C99" t="s">
        <v>327</v>
      </c>
      <c r="D99" t="s">
        <v>619</v>
      </c>
      <c r="E99" t="s">
        <v>30</v>
      </c>
      <c r="F99" t="s">
        <v>3</v>
      </c>
      <c r="G99" t="s">
        <v>619</v>
      </c>
      <c r="J99" t="s">
        <v>94</v>
      </c>
      <c r="K99" t="s">
        <v>325</v>
      </c>
      <c r="L99" t="s">
        <v>448</v>
      </c>
      <c r="M99" t="s">
        <v>620</v>
      </c>
      <c r="N99" t="s">
        <v>30</v>
      </c>
      <c r="O99" t="s">
        <v>3</v>
      </c>
      <c r="P99">
        <v>0.09</v>
      </c>
    </row>
    <row r="100" spans="1:16" x14ac:dyDescent="0.25">
      <c r="B100" t="s">
        <v>0</v>
      </c>
      <c r="C100" t="s">
        <v>0</v>
      </c>
      <c r="D100" t="s">
        <v>222</v>
      </c>
      <c r="E100" t="s">
        <v>30</v>
      </c>
      <c r="F100" t="s">
        <v>3</v>
      </c>
      <c r="G100">
        <v>-0.47099999999999997</v>
      </c>
      <c r="K100" t="s">
        <v>324</v>
      </c>
      <c r="L100" t="s">
        <v>449</v>
      </c>
      <c r="M100" t="s">
        <v>621</v>
      </c>
      <c r="N100" t="s">
        <v>30</v>
      </c>
      <c r="O100" t="s">
        <v>3</v>
      </c>
      <c r="P100">
        <v>0.1</v>
      </c>
    </row>
    <row r="101" spans="1:16" x14ac:dyDescent="0.25">
      <c r="B101" t="s">
        <v>1</v>
      </c>
      <c r="C101" t="s">
        <v>79</v>
      </c>
      <c r="D101" t="s">
        <v>223</v>
      </c>
      <c r="E101" t="s">
        <v>30</v>
      </c>
      <c r="F101" t="s">
        <v>1</v>
      </c>
      <c r="G101">
        <v>-0.53700000000000003</v>
      </c>
      <c r="K101" t="s">
        <v>1</v>
      </c>
      <c r="L101" t="s">
        <v>450</v>
      </c>
      <c r="M101" t="s">
        <v>622</v>
      </c>
      <c r="N101" t="s">
        <v>30</v>
      </c>
      <c r="O101" t="s">
        <v>1</v>
      </c>
      <c r="P101">
        <v>0.13638</v>
      </c>
    </row>
    <row r="102" spans="1:16" x14ac:dyDescent="0.25">
      <c r="B102" t="s">
        <v>8</v>
      </c>
      <c r="C102" t="s">
        <v>80</v>
      </c>
      <c r="D102" t="s">
        <v>224</v>
      </c>
      <c r="E102" t="s">
        <v>30</v>
      </c>
      <c r="F102" t="s">
        <v>8</v>
      </c>
      <c r="G102">
        <v>-0.52200000000000002</v>
      </c>
      <c r="K102" t="s">
        <v>8</v>
      </c>
      <c r="L102" t="s">
        <v>451</v>
      </c>
      <c r="M102" t="s">
        <v>623</v>
      </c>
      <c r="N102" t="s">
        <v>30</v>
      </c>
      <c r="O102" t="s">
        <v>8</v>
      </c>
      <c r="P102">
        <v>0.222</v>
      </c>
    </row>
    <row r="103" spans="1:16" x14ac:dyDescent="0.25">
      <c r="B103" t="s">
        <v>11</v>
      </c>
      <c r="C103" t="s">
        <v>81</v>
      </c>
      <c r="D103" t="s">
        <v>225</v>
      </c>
      <c r="E103" t="s">
        <v>30</v>
      </c>
      <c r="F103" t="s">
        <v>11</v>
      </c>
      <c r="G103">
        <v>-0.505</v>
      </c>
      <c r="K103" t="s">
        <v>11</v>
      </c>
      <c r="L103" t="s">
        <v>452</v>
      </c>
      <c r="M103" t="s">
        <v>624</v>
      </c>
      <c r="N103" t="s">
        <v>30</v>
      </c>
      <c r="O103" t="s">
        <v>11</v>
      </c>
      <c r="P103">
        <v>0.246</v>
      </c>
    </row>
    <row r="104" spans="1:16" x14ac:dyDescent="0.25">
      <c r="B104" t="s">
        <v>78</v>
      </c>
      <c r="C104" t="s">
        <v>82</v>
      </c>
      <c r="D104" t="s">
        <v>226</v>
      </c>
      <c r="E104" t="s">
        <v>30</v>
      </c>
      <c r="F104" t="s">
        <v>78</v>
      </c>
      <c r="G104">
        <v>-0.47599999999999998</v>
      </c>
      <c r="K104" t="s">
        <v>78</v>
      </c>
      <c r="L104" t="s">
        <v>453</v>
      </c>
      <c r="M104" t="s">
        <v>625</v>
      </c>
      <c r="N104" t="s">
        <v>30</v>
      </c>
      <c r="O104" t="s">
        <v>78</v>
      </c>
      <c r="P104">
        <v>0.33938000000000001</v>
      </c>
    </row>
    <row r="106" spans="1:16" x14ac:dyDescent="0.25">
      <c r="A106" t="s">
        <v>398</v>
      </c>
      <c r="B106" t="s">
        <v>32</v>
      </c>
      <c r="C106" t="s">
        <v>386</v>
      </c>
      <c r="D106" t="s">
        <v>626</v>
      </c>
      <c r="E106" t="s">
        <v>169</v>
      </c>
      <c r="F106" t="s">
        <v>170</v>
      </c>
      <c r="G106">
        <v>-3.6</v>
      </c>
      <c r="J106" t="s">
        <v>398</v>
      </c>
      <c r="K106" t="s">
        <v>32</v>
      </c>
      <c r="L106" t="s">
        <v>399</v>
      </c>
      <c r="M106" t="s">
        <v>627</v>
      </c>
      <c r="N106" t="s">
        <v>169</v>
      </c>
      <c r="O106" t="s">
        <v>170</v>
      </c>
      <c r="P106">
        <v>16.600000000000001</v>
      </c>
    </row>
    <row r="107" spans="1:16" x14ac:dyDescent="0.25">
      <c r="B107" t="s">
        <v>32</v>
      </c>
      <c r="C107" t="s">
        <v>387</v>
      </c>
      <c r="D107" t="s">
        <v>628</v>
      </c>
      <c r="E107" t="s">
        <v>170</v>
      </c>
      <c r="F107" t="s">
        <v>171</v>
      </c>
      <c r="G107">
        <v>-2.5</v>
      </c>
      <c r="K107" t="s">
        <v>32</v>
      </c>
      <c r="L107" t="s">
        <v>400</v>
      </c>
      <c r="M107" t="s">
        <v>629</v>
      </c>
      <c r="N107" t="s">
        <v>170</v>
      </c>
      <c r="O107" t="s">
        <v>171</v>
      </c>
      <c r="P107">
        <v>14.4</v>
      </c>
    </row>
    <row r="108" spans="1:16" x14ac:dyDescent="0.25">
      <c r="B108" t="s">
        <v>32</v>
      </c>
      <c r="C108" t="s">
        <v>388</v>
      </c>
      <c r="D108" t="s">
        <v>630</v>
      </c>
      <c r="E108" t="s">
        <v>171</v>
      </c>
      <c r="F108" t="s">
        <v>172</v>
      </c>
      <c r="G108">
        <v>-1.7</v>
      </c>
      <c r="K108" t="s">
        <v>32</v>
      </c>
      <c r="L108" t="s">
        <v>401</v>
      </c>
      <c r="M108" t="s">
        <v>631</v>
      </c>
      <c r="N108" t="s">
        <v>171</v>
      </c>
      <c r="O108" t="s">
        <v>172</v>
      </c>
      <c r="P108">
        <v>14.382</v>
      </c>
    </row>
    <row r="109" spans="1:16" x14ac:dyDescent="0.25">
      <c r="B109" t="s">
        <v>32</v>
      </c>
      <c r="C109" t="s">
        <v>389</v>
      </c>
      <c r="D109" t="s">
        <v>632</v>
      </c>
      <c r="E109" t="s">
        <v>172</v>
      </c>
      <c r="F109" t="s">
        <v>173</v>
      </c>
      <c r="G109">
        <v>-1.4</v>
      </c>
      <c r="K109" t="s">
        <v>32</v>
      </c>
      <c r="L109" t="s">
        <v>402</v>
      </c>
      <c r="M109" t="s">
        <v>633</v>
      </c>
      <c r="N109" t="s">
        <v>172</v>
      </c>
      <c r="O109" t="s">
        <v>173</v>
      </c>
      <c r="P109">
        <v>14.7</v>
      </c>
    </row>
    <row r="110" spans="1:16" x14ac:dyDescent="0.25">
      <c r="B110" t="s">
        <v>32</v>
      </c>
      <c r="C110" t="s">
        <v>390</v>
      </c>
      <c r="D110" t="s">
        <v>634</v>
      </c>
      <c r="E110" t="s">
        <v>173</v>
      </c>
      <c r="F110" t="s">
        <v>174</v>
      </c>
      <c r="G110">
        <v>-1.1000000000000001</v>
      </c>
      <c r="K110" t="s">
        <v>32</v>
      </c>
      <c r="L110" t="s">
        <v>403</v>
      </c>
      <c r="M110" t="s">
        <v>635</v>
      </c>
      <c r="N110" t="s">
        <v>173</v>
      </c>
      <c r="O110" t="s">
        <v>174</v>
      </c>
      <c r="P110">
        <v>17.8</v>
      </c>
    </row>
    <row r="111" spans="1:16" x14ac:dyDescent="0.25">
      <c r="B111" t="s">
        <v>32</v>
      </c>
      <c r="C111" t="s">
        <v>391</v>
      </c>
      <c r="D111" t="s">
        <v>636</v>
      </c>
      <c r="E111" t="s">
        <v>174</v>
      </c>
      <c r="F111" t="s">
        <v>175</v>
      </c>
      <c r="G111">
        <v>-0.7</v>
      </c>
      <c r="K111" t="s">
        <v>32</v>
      </c>
      <c r="L111" t="s">
        <v>404</v>
      </c>
      <c r="M111" t="s">
        <v>637</v>
      </c>
      <c r="N111" t="s">
        <v>174</v>
      </c>
      <c r="O111" t="s">
        <v>175</v>
      </c>
      <c r="P111">
        <v>23.4</v>
      </c>
    </row>
    <row r="112" spans="1:16" x14ac:dyDescent="0.25">
      <c r="B112" t="s">
        <v>32</v>
      </c>
      <c r="C112" t="s">
        <v>392</v>
      </c>
      <c r="D112" t="s">
        <v>638</v>
      </c>
      <c r="E112" t="s">
        <v>175</v>
      </c>
      <c r="F112" t="s">
        <v>176</v>
      </c>
      <c r="G112">
        <v>-0.2</v>
      </c>
      <c r="K112" t="s">
        <v>32</v>
      </c>
      <c r="L112" t="s">
        <v>405</v>
      </c>
      <c r="M112" t="s">
        <v>639</v>
      </c>
      <c r="N112" t="s">
        <v>175</v>
      </c>
      <c r="O112" t="s">
        <v>176</v>
      </c>
      <c r="P112">
        <v>23.5</v>
      </c>
    </row>
    <row r="113" spans="1:16" x14ac:dyDescent="0.25">
      <c r="B113" t="s">
        <v>32</v>
      </c>
      <c r="C113" t="s">
        <v>393</v>
      </c>
      <c r="D113" t="s">
        <v>640</v>
      </c>
      <c r="E113" t="s">
        <v>176</v>
      </c>
      <c r="F113" t="s">
        <v>177</v>
      </c>
      <c r="G113">
        <v>0.3</v>
      </c>
      <c r="K113" t="s">
        <v>32</v>
      </c>
      <c r="L113" t="s">
        <v>406</v>
      </c>
      <c r="M113" t="s">
        <v>641</v>
      </c>
      <c r="N113" t="s">
        <v>176</v>
      </c>
      <c r="O113" t="s">
        <v>177</v>
      </c>
      <c r="P113">
        <v>23.463999999999999</v>
      </c>
    </row>
    <row r="114" spans="1:16" x14ac:dyDescent="0.25">
      <c r="B114" t="s">
        <v>32</v>
      </c>
      <c r="C114" t="s">
        <v>394</v>
      </c>
      <c r="D114" t="s">
        <v>642</v>
      </c>
      <c r="E114" t="s">
        <v>177</v>
      </c>
      <c r="F114" t="s">
        <v>178</v>
      </c>
      <c r="G114">
        <v>0.9</v>
      </c>
      <c r="K114" t="s">
        <v>32</v>
      </c>
      <c r="L114" t="s">
        <v>407</v>
      </c>
      <c r="M114" t="s">
        <v>643</v>
      </c>
      <c r="N114" t="s">
        <v>177</v>
      </c>
      <c r="O114" t="s">
        <v>178</v>
      </c>
      <c r="P114">
        <v>23.38</v>
      </c>
    </row>
    <row r="115" spans="1:16" x14ac:dyDescent="0.25">
      <c r="B115" t="s">
        <v>32</v>
      </c>
      <c r="C115" t="s">
        <v>395</v>
      </c>
      <c r="D115" t="s">
        <v>626</v>
      </c>
      <c r="E115" t="s">
        <v>178</v>
      </c>
      <c r="F115" t="s">
        <v>179</v>
      </c>
      <c r="G115">
        <v>1.6</v>
      </c>
      <c r="K115" t="s">
        <v>32</v>
      </c>
      <c r="L115" t="s">
        <v>408</v>
      </c>
      <c r="M115" t="s">
        <v>644</v>
      </c>
      <c r="N115" t="s">
        <v>178</v>
      </c>
      <c r="O115" t="s">
        <v>179</v>
      </c>
      <c r="P115">
        <v>23</v>
      </c>
    </row>
    <row r="116" spans="1:16" x14ac:dyDescent="0.25">
      <c r="B116" t="s">
        <v>32</v>
      </c>
      <c r="C116" t="s">
        <v>396</v>
      </c>
      <c r="D116" t="s">
        <v>626</v>
      </c>
      <c r="E116" t="s">
        <v>179</v>
      </c>
      <c r="F116" t="s">
        <v>180</v>
      </c>
      <c r="G116">
        <v>2.4</v>
      </c>
      <c r="K116" t="s">
        <v>32</v>
      </c>
      <c r="L116" t="s">
        <v>409</v>
      </c>
      <c r="M116" t="s">
        <v>645</v>
      </c>
      <c r="N116" t="s">
        <v>179</v>
      </c>
      <c r="O116" t="s">
        <v>180</v>
      </c>
      <c r="P116">
        <v>23</v>
      </c>
    </row>
    <row r="117" spans="1:16" x14ac:dyDescent="0.25">
      <c r="B117" t="s">
        <v>32</v>
      </c>
      <c r="C117" t="s">
        <v>397</v>
      </c>
      <c r="D117" t="s">
        <v>626</v>
      </c>
      <c r="E117" t="s">
        <v>180</v>
      </c>
      <c r="F117" t="s">
        <v>181</v>
      </c>
      <c r="G117">
        <v>3.2</v>
      </c>
      <c r="K117" t="s">
        <v>32</v>
      </c>
      <c r="L117" t="s">
        <v>410</v>
      </c>
      <c r="M117" t="s">
        <v>646</v>
      </c>
      <c r="N117" t="s">
        <v>180</v>
      </c>
      <c r="O117" t="s">
        <v>181</v>
      </c>
      <c r="P117">
        <v>22.75</v>
      </c>
    </row>
    <row r="119" spans="1:16" x14ac:dyDescent="0.25">
      <c r="A119" t="s">
        <v>398</v>
      </c>
      <c r="B119" t="s">
        <v>32</v>
      </c>
      <c r="C119" t="s">
        <v>369</v>
      </c>
      <c r="D119" t="s">
        <v>647</v>
      </c>
      <c r="E119" t="s">
        <v>30</v>
      </c>
      <c r="F119" t="s">
        <v>183</v>
      </c>
      <c r="G119">
        <v>-2.5</v>
      </c>
      <c r="J119" t="s">
        <v>398</v>
      </c>
      <c r="K119" t="s">
        <v>32</v>
      </c>
      <c r="L119" t="s">
        <v>411</v>
      </c>
      <c r="M119" t="s">
        <v>648</v>
      </c>
      <c r="N119" t="s">
        <v>30</v>
      </c>
      <c r="O119" t="s">
        <v>183</v>
      </c>
      <c r="P119">
        <v>14.5</v>
      </c>
    </row>
    <row r="120" spans="1:16" x14ac:dyDescent="0.25">
      <c r="B120" t="s">
        <v>32</v>
      </c>
      <c r="C120" t="s">
        <v>370</v>
      </c>
      <c r="D120" t="s">
        <v>649</v>
      </c>
      <c r="E120" t="s">
        <v>30</v>
      </c>
      <c r="F120" t="s">
        <v>185</v>
      </c>
      <c r="G120">
        <v>-1.5</v>
      </c>
      <c r="K120" t="s">
        <v>32</v>
      </c>
      <c r="L120" t="s">
        <v>412</v>
      </c>
      <c r="M120" t="s">
        <v>650</v>
      </c>
      <c r="N120" t="s">
        <v>30</v>
      </c>
      <c r="O120" t="s">
        <v>185</v>
      </c>
      <c r="P120">
        <v>18.125</v>
      </c>
    </row>
    <row r="121" spans="1:16" x14ac:dyDescent="0.25">
      <c r="B121" t="s">
        <v>32</v>
      </c>
      <c r="C121" t="s">
        <v>371</v>
      </c>
      <c r="D121" t="s">
        <v>651</v>
      </c>
      <c r="E121" t="s">
        <v>30</v>
      </c>
      <c r="F121" t="s">
        <v>187</v>
      </c>
      <c r="G121">
        <v>-0.4</v>
      </c>
      <c r="K121" t="s">
        <v>32</v>
      </c>
      <c r="L121" t="s">
        <v>413</v>
      </c>
      <c r="M121" t="s">
        <v>652</v>
      </c>
      <c r="N121" t="s">
        <v>30</v>
      </c>
      <c r="O121" t="s">
        <v>187</v>
      </c>
      <c r="P121">
        <v>19.625</v>
      </c>
    </row>
    <row r="122" spans="1:16" x14ac:dyDescent="0.25">
      <c r="B122" t="s">
        <v>32</v>
      </c>
      <c r="C122" t="s">
        <v>372</v>
      </c>
      <c r="D122" t="s">
        <v>653</v>
      </c>
      <c r="E122" t="s">
        <v>30</v>
      </c>
      <c r="F122" t="s">
        <v>189</v>
      </c>
      <c r="G122">
        <v>0.5</v>
      </c>
      <c r="K122" t="s">
        <v>32</v>
      </c>
      <c r="L122" t="s">
        <v>414</v>
      </c>
      <c r="M122" t="s">
        <v>654</v>
      </c>
      <c r="N122" t="s">
        <v>30</v>
      </c>
      <c r="O122" t="s">
        <v>189</v>
      </c>
      <c r="P122">
        <v>20.2</v>
      </c>
    </row>
    <row r="123" spans="1:16" x14ac:dyDescent="0.25">
      <c r="B123" t="s">
        <v>32</v>
      </c>
      <c r="C123" t="s">
        <v>373</v>
      </c>
      <c r="D123" t="s">
        <v>655</v>
      </c>
      <c r="E123" t="s">
        <v>30</v>
      </c>
      <c r="F123" t="s">
        <v>191</v>
      </c>
      <c r="G123">
        <v>1.4</v>
      </c>
      <c r="K123" t="s">
        <v>32</v>
      </c>
      <c r="L123" t="s">
        <v>415</v>
      </c>
      <c r="M123" t="s">
        <v>656</v>
      </c>
      <c r="N123" t="s">
        <v>30</v>
      </c>
      <c r="O123" t="s">
        <v>191</v>
      </c>
      <c r="P123">
        <v>20.25</v>
      </c>
    </row>
    <row r="124" spans="1:16" x14ac:dyDescent="0.25">
      <c r="B124" t="s">
        <v>32</v>
      </c>
      <c r="C124" t="s">
        <v>374</v>
      </c>
      <c r="D124" t="s">
        <v>657</v>
      </c>
      <c r="E124" t="s">
        <v>30</v>
      </c>
      <c r="F124" t="s">
        <v>193</v>
      </c>
      <c r="G124">
        <v>2</v>
      </c>
      <c r="K124" t="s">
        <v>32</v>
      </c>
      <c r="L124" t="s">
        <v>416</v>
      </c>
      <c r="M124" t="s">
        <v>658</v>
      </c>
      <c r="N124" t="s">
        <v>30</v>
      </c>
      <c r="O124" t="s">
        <v>193</v>
      </c>
      <c r="P124">
        <v>20.250499999999999</v>
      </c>
    </row>
    <row r="125" spans="1:16" x14ac:dyDescent="0.25">
      <c r="B125" t="s">
        <v>32</v>
      </c>
      <c r="C125" t="s">
        <v>375</v>
      </c>
      <c r="D125" t="s">
        <v>659</v>
      </c>
      <c r="E125" t="s">
        <v>30</v>
      </c>
      <c r="F125" t="s">
        <v>195</v>
      </c>
      <c r="G125">
        <v>2.4</v>
      </c>
      <c r="K125" t="s">
        <v>32</v>
      </c>
      <c r="L125" t="s">
        <v>417</v>
      </c>
      <c r="M125" t="s">
        <v>660</v>
      </c>
      <c r="N125" t="s">
        <v>30</v>
      </c>
      <c r="O125" t="s">
        <v>195</v>
      </c>
      <c r="P125">
        <v>20.3</v>
      </c>
    </row>
    <row r="126" spans="1:16" x14ac:dyDescent="0.25">
      <c r="B126" t="s">
        <v>32</v>
      </c>
      <c r="C126" t="s">
        <v>376</v>
      </c>
      <c r="D126" t="s">
        <v>661</v>
      </c>
      <c r="E126" t="s">
        <v>30</v>
      </c>
      <c r="F126" t="s">
        <v>197</v>
      </c>
      <c r="G126">
        <v>2.8</v>
      </c>
      <c r="K126" t="s">
        <v>32</v>
      </c>
      <c r="L126" t="s">
        <v>418</v>
      </c>
      <c r="M126" t="s">
        <v>662</v>
      </c>
      <c r="N126" t="s">
        <v>30</v>
      </c>
      <c r="O126" t="s">
        <v>197</v>
      </c>
      <c r="P126">
        <v>20.125</v>
      </c>
    </row>
    <row r="127" spans="1:16" x14ac:dyDescent="0.25">
      <c r="B127" t="s">
        <v>32</v>
      </c>
      <c r="C127" t="s">
        <v>377</v>
      </c>
      <c r="D127" t="s">
        <v>663</v>
      </c>
      <c r="E127" t="s">
        <v>30</v>
      </c>
      <c r="F127" t="s">
        <v>199</v>
      </c>
      <c r="G127">
        <v>3.1</v>
      </c>
      <c r="K127" t="s">
        <v>32</v>
      </c>
      <c r="L127" t="s">
        <v>419</v>
      </c>
      <c r="M127" t="s">
        <v>664</v>
      </c>
      <c r="N127" t="s">
        <v>30</v>
      </c>
      <c r="O127" t="s">
        <v>199</v>
      </c>
      <c r="P127">
        <v>20</v>
      </c>
    </row>
    <row r="128" spans="1:16" x14ac:dyDescent="0.25">
      <c r="B128" t="s">
        <v>32</v>
      </c>
      <c r="C128" t="s">
        <v>378</v>
      </c>
      <c r="D128" t="s">
        <v>665</v>
      </c>
      <c r="E128" t="s">
        <v>30</v>
      </c>
      <c r="F128" t="s">
        <v>201</v>
      </c>
      <c r="G128">
        <v>3.4</v>
      </c>
      <c r="K128" t="s">
        <v>32</v>
      </c>
      <c r="L128" t="s">
        <v>420</v>
      </c>
      <c r="M128" t="s">
        <v>666</v>
      </c>
      <c r="N128" t="s">
        <v>30</v>
      </c>
      <c r="O128" t="s">
        <v>201</v>
      </c>
      <c r="P128">
        <v>20</v>
      </c>
    </row>
    <row r="129" spans="1:16" x14ac:dyDescent="0.25">
      <c r="B129" t="s">
        <v>32</v>
      </c>
      <c r="C129" t="s">
        <v>379</v>
      </c>
      <c r="D129" t="s">
        <v>667</v>
      </c>
      <c r="E129" t="s">
        <v>30</v>
      </c>
      <c r="F129" t="s">
        <v>205</v>
      </c>
      <c r="G129">
        <v>3.6</v>
      </c>
      <c r="K129" t="s">
        <v>32</v>
      </c>
      <c r="L129" t="s">
        <v>421</v>
      </c>
      <c r="M129" t="s">
        <v>668</v>
      </c>
      <c r="N129" t="s">
        <v>30</v>
      </c>
      <c r="O129" t="s">
        <v>205</v>
      </c>
      <c r="P129">
        <v>19.875</v>
      </c>
    </row>
    <row r="130" spans="1:16" x14ac:dyDescent="0.25">
      <c r="B130" t="s">
        <v>32</v>
      </c>
      <c r="C130" t="s">
        <v>380</v>
      </c>
      <c r="D130" t="s">
        <v>669</v>
      </c>
      <c r="E130" t="s">
        <v>30</v>
      </c>
      <c r="F130" t="s">
        <v>207</v>
      </c>
      <c r="G130">
        <v>3.7</v>
      </c>
      <c r="K130" t="s">
        <v>32</v>
      </c>
      <c r="L130" t="s">
        <v>422</v>
      </c>
      <c r="M130" t="s">
        <v>670</v>
      </c>
      <c r="N130" t="s">
        <v>30</v>
      </c>
      <c r="O130" t="s">
        <v>207</v>
      </c>
      <c r="P130">
        <v>19.75</v>
      </c>
    </row>
    <row r="131" spans="1:16" x14ac:dyDescent="0.25">
      <c r="B131" t="s">
        <v>32</v>
      </c>
      <c r="C131" t="s">
        <v>381</v>
      </c>
      <c r="D131" t="s">
        <v>671</v>
      </c>
      <c r="E131" t="s">
        <v>30</v>
      </c>
      <c r="F131" t="s">
        <v>209</v>
      </c>
      <c r="G131">
        <v>3.6</v>
      </c>
      <c r="K131" t="s">
        <v>32</v>
      </c>
      <c r="L131" t="s">
        <v>423</v>
      </c>
      <c r="M131" t="s">
        <v>672</v>
      </c>
      <c r="N131" t="s">
        <v>30</v>
      </c>
      <c r="O131" t="s">
        <v>209</v>
      </c>
      <c r="P131">
        <v>19.375</v>
      </c>
    </row>
    <row r="132" spans="1:16" x14ac:dyDescent="0.25">
      <c r="B132" t="s">
        <v>32</v>
      </c>
      <c r="C132" t="s">
        <v>382</v>
      </c>
      <c r="D132" t="s">
        <v>673</v>
      </c>
      <c r="E132" t="s">
        <v>30</v>
      </c>
      <c r="F132" t="s">
        <v>211</v>
      </c>
      <c r="G132">
        <v>3.6</v>
      </c>
      <c r="K132" t="s">
        <v>32</v>
      </c>
      <c r="L132" t="s">
        <v>424</v>
      </c>
      <c r="M132" t="s">
        <v>674</v>
      </c>
      <c r="N132" t="s">
        <v>30</v>
      </c>
      <c r="O132" t="s">
        <v>211</v>
      </c>
      <c r="P132">
        <v>19.110499999999998</v>
      </c>
    </row>
    <row r="133" spans="1:16" x14ac:dyDescent="0.25">
      <c r="B133" t="s">
        <v>32</v>
      </c>
      <c r="C133" t="s">
        <v>383</v>
      </c>
      <c r="D133" t="s">
        <v>675</v>
      </c>
      <c r="E133" t="s">
        <v>30</v>
      </c>
      <c r="F133" t="s">
        <v>213</v>
      </c>
      <c r="G133">
        <v>3.6</v>
      </c>
      <c r="K133" t="s">
        <v>32</v>
      </c>
      <c r="L133" t="s">
        <v>425</v>
      </c>
      <c r="M133" t="s">
        <v>676</v>
      </c>
      <c r="N133" t="s">
        <v>30</v>
      </c>
      <c r="O133" t="s">
        <v>213</v>
      </c>
      <c r="P133">
        <v>18.75</v>
      </c>
    </row>
    <row r="134" spans="1:16" x14ac:dyDescent="0.25">
      <c r="B134" t="s">
        <v>32</v>
      </c>
      <c r="C134" t="s">
        <v>384</v>
      </c>
      <c r="D134" t="s">
        <v>677</v>
      </c>
      <c r="E134" t="s">
        <v>30</v>
      </c>
      <c r="F134" t="s">
        <v>217</v>
      </c>
      <c r="G134">
        <v>3.2</v>
      </c>
      <c r="K134" t="s">
        <v>32</v>
      </c>
      <c r="L134" t="s">
        <v>426</v>
      </c>
      <c r="M134" t="s">
        <v>678</v>
      </c>
      <c r="N134" t="s">
        <v>30</v>
      </c>
      <c r="O134" t="s">
        <v>217</v>
      </c>
      <c r="P134" t="s">
        <v>615</v>
      </c>
    </row>
    <row r="135" spans="1:16" x14ac:dyDescent="0.25">
      <c r="B135" t="s">
        <v>32</v>
      </c>
      <c r="C135" t="s">
        <v>385</v>
      </c>
      <c r="D135" t="s">
        <v>679</v>
      </c>
      <c r="E135" t="s">
        <v>30</v>
      </c>
      <c r="F135" t="s">
        <v>221</v>
      </c>
      <c r="G135">
        <v>2.7</v>
      </c>
      <c r="K135" t="s">
        <v>32</v>
      </c>
      <c r="L135" t="s">
        <v>427</v>
      </c>
      <c r="M135" t="s">
        <v>680</v>
      </c>
      <c r="N135" t="s">
        <v>30</v>
      </c>
      <c r="O135" t="s">
        <v>221</v>
      </c>
      <c r="P135" t="s">
        <v>615</v>
      </c>
    </row>
    <row r="137" spans="1:16" x14ac:dyDescent="0.25">
      <c r="A137" t="s">
        <v>91</v>
      </c>
      <c r="B137" t="s">
        <v>1</v>
      </c>
      <c r="C137" t="s">
        <v>87</v>
      </c>
      <c r="D137" t="s">
        <v>227</v>
      </c>
      <c r="E137" t="s">
        <v>30</v>
      </c>
      <c r="F137" t="s">
        <v>7</v>
      </c>
      <c r="G137">
        <v>-0.55400000000000005</v>
      </c>
      <c r="J137" t="s">
        <v>91</v>
      </c>
      <c r="K137" t="s">
        <v>1</v>
      </c>
      <c r="L137" t="s">
        <v>455</v>
      </c>
      <c r="M137" t="s">
        <v>681</v>
      </c>
      <c r="N137" t="s">
        <v>30</v>
      </c>
      <c r="O137" t="s">
        <v>7</v>
      </c>
      <c r="P137">
        <v>0.157</v>
      </c>
    </row>
    <row r="138" spans="1:16" x14ac:dyDescent="0.25">
      <c r="B138" t="s">
        <v>1</v>
      </c>
      <c r="C138" t="s">
        <v>88</v>
      </c>
      <c r="D138" t="s">
        <v>228</v>
      </c>
      <c r="E138" t="s">
        <v>30</v>
      </c>
      <c r="F138" t="s">
        <v>8</v>
      </c>
      <c r="G138">
        <v>-0.55400000000000005</v>
      </c>
      <c r="K138" t="s">
        <v>1</v>
      </c>
      <c r="L138" t="s">
        <v>456</v>
      </c>
      <c r="M138" t="s">
        <v>682</v>
      </c>
      <c r="N138" t="s">
        <v>30</v>
      </c>
      <c r="O138" t="s">
        <v>8</v>
      </c>
      <c r="P138">
        <v>0.1603</v>
      </c>
    </row>
    <row r="139" spans="1:16" x14ac:dyDescent="0.25">
      <c r="B139" t="s">
        <v>1</v>
      </c>
      <c r="C139" t="s">
        <v>89</v>
      </c>
      <c r="D139" t="s">
        <v>229</v>
      </c>
      <c r="E139" t="s">
        <v>30</v>
      </c>
      <c r="F139" t="s">
        <v>11</v>
      </c>
      <c r="G139">
        <v>-0.55700000000000005</v>
      </c>
      <c r="K139" t="s">
        <v>1</v>
      </c>
      <c r="L139" t="s">
        <v>457</v>
      </c>
      <c r="M139" t="s">
        <v>683</v>
      </c>
      <c r="N139" t="s">
        <v>30</v>
      </c>
      <c r="O139" t="s">
        <v>11</v>
      </c>
      <c r="P139">
        <v>0.15909999999999999</v>
      </c>
    </row>
    <row r="140" spans="1:16" x14ac:dyDescent="0.25">
      <c r="B140" t="s">
        <v>1</v>
      </c>
      <c r="C140" t="s">
        <v>86</v>
      </c>
      <c r="D140" t="s">
        <v>230</v>
      </c>
      <c r="E140" t="s">
        <v>30</v>
      </c>
      <c r="F140" t="s">
        <v>83</v>
      </c>
      <c r="G140">
        <v>-0.56000000000000005</v>
      </c>
      <c r="K140" t="s">
        <v>1</v>
      </c>
      <c r="L140" t="s">
        <v>458</v>
      </c>
      <c r="M140" t="s">
        <v>684</v>
      </c>
      <c r="N140" t="s">
        <v>30</v>
      </c>
      <c r="O140" t="s">
        <v>83</v>
      </c>
      <c r="P140">
        <v>0.15790000000000001</v>
      </c>
    </row>
    <row r="141" spans="1:16" x14ac:dyDescent="0.25">
      <c r="A141" t="s">
        <v>95</v>
      </c>
      <c r="B141" t="s">
        <v>1</v>
      </c>
      <c r="C141" t="s">
        <v>96</v>
      </c>
      <c r="D141" t="s">
        <v>231</v>
      </c>
      <c r="E141" t="s">
        <v>30</v>
      </c>
      <c r="F141" t="s">
        <v>183</v>
      </c>
      <c r="G141">
        <v>3.4</v>
      </c>
      <c r="J141" t="s">
        <v>95</v>
      </c>
      <c r="K141" t="s">
        <v>1</v>
      </c>
      <c r="L141" t="s">
        <v>459</v>
      </c>
      <c r="M141" t="s">
        <v>685</v>
      </c>
      <c r="N141" t="s">
        <v>30</v>
      </c>
      <c r="O141" t="s">
        <v>183</v>
      </c>
      <c r="P141">
        <v>6.35</v>
      </c>
    </row>
    <row r="142" spans="1:16" x14ac:dyDescent="0.25">
      <c r="B142" t="s">
        <v>1</v>
      </c>
      <c r="C142" t="s">
        <v>97</v>
      </c>
      <c r="D142" t="s">
        <v>232</v>
      </c>
      <c r="E142" t="s">
        <v>30</v>
      </c>
      <c r="F142" t="s">
        <v>185</v>
      </c>
      <c r="G142">
        <v>3.7</v>
      </c>
      <c r="K142" t="s">
        <v>1</v>
      </c>
      <c r="L142" t="s">
        <v>460</v>
      </c>
      <c r="M142" t="s">
        <v>686</v>
      </c>
      <c r="N142" t="s">
        <v>30</v>
      </c>
      <c r="O142" t="s">
        <v>185</v>
      </c>
      <c r="P142">
        <v>8.6</v>
      </c>
    </row>
    <row r="143" spans="1:16" x14ac:dyDescent="0.25">
      <c r="B143" t="s">
        <v>1</v>
      </c>
      <c r="C143" t="s">
        <v>98</v>
      </c>
      <c r="D143" t="s">
        <v>233</v>
      </c>
      <c r="E143" t="s">
        <v>30</v>
      </c>
      <c r="F143" t="s">
        <v>187</v>
      </c>
      <c r="G143">
        <v>3.7</v>
      </c>
      <c r="K143" t="s">
        <v>1</v>
      </c>
      <c r="L143" t="s">
        <v>461</v>
      </c>
      <c r="M143" t="s">
        <v>687</v>
      </c>
      <c r="N143" t="s">
        <v>30</v>
      </c>
      <c r="O143" t="s">
        <v>187</v>
      </c>
      <c r="P143">
        <v>9.8800000000000008</v>
      </c>
    </row>
    <row r="144" spans="1:16" x14ac:dyDescent="0.25">
      <c r="B144" t="s">
        <v>1</v>
      </c>
      <c r="C144" t="s">
        <v>99</v>
      </c>
      <c r="D144" t="s">
        <v>234</v>
      </c>
      <c r="E144" t="s">
        <v>30</v>
      </c>
      <c r="F144" t="s">
        <v>189</v>
      </c>
      <c r="G144">
        <v>3.7</v>
      </c>
      <c r="K144" t="s">
        <v>1</v>
      </c>
      <c r="L144" t="s">
        <v>462</v>
      </c>
      <c r="M144" t="s">
        <v>688</v>
      </c>
      <c r="N144" t="s">
        <v>30</v>
      </c>
      <c r="O144" t="s">
        <v>189</v>
      </c>
      <c r="P144">
        <v>10.63</v>
      </c>
    </row>
    <row r="145" spans="1:16" x14ac:dyDescent="0.25">
      <c r="B145" t="s">
        <v>1</v>
      </c>
      <c r="C145" t="s">
        <v>100</v>
      </c>
      <c r="D145" t="s">
        <v>235</v>
      </c>
      <c r="E145" t="s">
        <v>30</v>
      </c>
      <c r="F145" t="s">
        <v>191</v>
      </c>
      <c r="G145">
        <v>3.6</v>
      </c>
      <c r="K145" t="s">
        <v>1</v>
      </c>
      <c r="L145" t="s">
        <v>463</v>
      </c>
      <c r="M145" t="s">
        <v>689</v>
      </c>
      <c r="N145" t="s">
        <v>30</v>
      </c>
      <c r="O145" t="s">
        <v>191</v>
      </c>
      <c r="P145">
        <v>11.1875</v>
      </c>
    </row>
    <row r="146" spans="1:16" x14ac:dyDescent="0.25">
      <c r="B146" t="s">
        <v>1</v>
      </c>
      <c r="C146" t="s">
        <v>101</v>
      </c>
      <c r="D146" t="s">
        <v>236</v>
      </c>
      <c r="E146" t="s">
        <v>30</v>
      </c>
      <c r="F146" t="s">
        <v>193</v>
      </c>
      <c r="G146">
        <v>3.5</v>
      </c>
      <c r="K146" t="s">
        <v>1</v>
      </c>
      <c r="L146" t="s">
        <v>464</v>
      </c>
      <c r="M146" t="s">
        <v>690</v>
      </c>
      <c r="N146" t="s">
        <v>30</v>
      </c>
      <c r="O146" t="s">
        <v>193</v>
      </c>
      <c r="P146">
        <v>11.497</v>
      </c>
    </row>
    <row r="147" spans="1:16" x14ac:dyDescent="0.25">
      <c r="B147" t="s">
        <v>1</v>
      </c>
      <c r="C147" t="s">
        <v>102</v>
      </c>
      <c r="D147" t="s">
        <v>237</v>
      </c>
      <c r="E147" t="s">
        <v>30</v>
      </c>
      <c r="F147" t="s">
        <v>195</v>
      </c>
      <c r="G147">
        <v>3.5</v>
      </c>
      <c r="K147" t="s">
        <v>1</v>
      </c>
      <c r="L147" t="s">
        <v>465</v>
      </c>
      <c r="M147" t="s">
        <v>691</v>
      </c>
      <c r="N147" t="s">
        <v>30</v>
      </c>
      <c r="O147" t="s">
        <v>195</v>
      </c>
      <c r="P147">
        <v>11.75</v>
      </c>
    </row>
    <row r="148" spans="1:16" x14ac:dyDescent="0.25">
      <c r="B148" t="s">
        <v>1</v>
      </c>
      <c r="C148" t="s">
        <v>103</v>
      </c>
      <c r="D148" t="s">
        <v>238</v>
      </c>
      <c r="E148" t="s">
        <v>30</v>
      </c>
      <c r="F148" t="s">
        <v>197</v>
      </c>
      <c r="G148">
        <v>3.4</v>
      </c>
      <c r="K148" t="s">
        <v>1</v>
      </c>
      <c r="L148" t="s">
        <v>466</v>
      </c>
      <c r="M148" t="s">
        <v>692</v>
      </c>
      <c r="N148" t="s">
        <v>30</v>
      </c>
      <c r="O148" t="s">
        <v>197</v>
      </c>
      <c r="P148">
        <v>11.875</v>
      </c>
    </row>
    <row r="149" spans="1:16" x14ac:dyDescent="0.25">
      <c r="B149" t="s">
        <v>1</v>
      </c>
      <c r="C149" t="s">
        <v>104</v>
      </c>
      <c r="D149" t="s">
        <v>239</v>
      </c>
      <c r="E149" t="s">
        <v>30</v>
      </c>
      <c r="F149" t="s">
        <v>199</v>
      </c>
      <c r="G149">
        <v>3.3</v>
      </c>
      <c r="K149" t="s">
        <v>1</v>
      </c>
      <c r="L149" t="s">
        <v>467</v>
      </c>
      <c r="M149" t="s">
        <v>693</v>
      </c>
      <c r="N149" t="s">
        <v>30</v>
      </c>
      <c r="O149" t="s">
        <v>199</v>
      </c>
      <c r="P149">
        <v>12</v>
      </c>
    </row>
    <row r="150" spans="1:16" x14ac:dyDescent="0.25">
      <c r="B150" t="s">
        <v>1</v>
      </c>
      <c r="C150" t="s">
        <v>105</v>
      </c>
      <c r="D150" t="s">
        <v>240</v>
      </c>
      <c r="E150" t="s">
        <v>30</v>
      </c>
      <c r="F150" t="s">
        <v>201</v>
      </c>
      <c r="G150">
        <v>3.2</v>
      </c>
      <c r="K150" t="s">
        <v>1</v>
      </c>
      <c r="L150" t="s">
        <v>468</v>
      </c>
      <c r="M150" t="s">
        <v>694</v>
      </c>
      <c r="N150" t="s">
        <v>30</v>
      </c>
      <c r="O150" t="s">
        <v>201</v>
      </c>
      <c r="P150">
        <v>12.119</v>
      </c>
    </row>
    <row r="151" spans="1:16" x14ac:dyDescent="0.25">
      <c r="B151" t="s">
        <v>1</v>
      </c>
      <c r="C151" t="s">
        <v>106</v>
      </c>
      <c r="D151" t="s">
        <v>241</v>
      </c>
      <c r="E151" t="s">
        <v>30</v>
      </c>
      <c r="F151" t="s">
        <v>205</v>
      </c>
      <c r="G151">
        <v>3.1</v>
      </c>
      <c r="K151" t="s">
        <v>1</v>
      </c>
      <c r="L151" t="s">
        <v>469</v>
      </c>
      <c r="M151" t="s">
        <v>695</v>
      </c>
      <c r="N151" t="s">
        <v>30</v>
      </c>
      <c r="O151" t="s">
        <v>205</v>
      </c>
      <c r="P151">
        <v>12.25</v>
      </c>
    </row>
    <row r="152" spans="1:16" x14ac:dyDescent="0.25">
      <c r="B152" t="s">
        <v>1</v>
      </c>
      <c r="C152" t="s">
        <v>107</v>
      </c>
      <c r="D152" t="s">
        <v>242</v>
      </c>
      <c r="E152" t="s">
        <v>30</v>
      </c>
      <c r="F152" t="s">
        <v>207</v>
      </c>
      <c r="G152">
        <v>3.1</v>
      </c>
      <c r="K152" t="s">
        <v>1</v>
      </c>
      <c r="L152" t="s">
        <v>470</v>
      </c>
      <c r="M152" t="s">
        <v>696</v>
      </c>
      <c r="N152" t="s">
        <v>30</v>
      </c>
      <c r="O152" t="s">
        <v>207</v>
      </c>
      <c r="P152">
        <v>12.375</v>
      </c>
    </row>
    <row r="153" spans="1:16" x14ac:dyDescent="0.25">
      <c r="B153" t="s">
        <v>1</v>
      </c>
      <c r="C153" t="s">
        <v>108</v>
      </c>
      <c r="D153" t="s">
        <v>243</v>
      </c>
      <c r="E153" t="s">
        <v>30</v>
      </c>
      <c r="F153" t="s">
        <v>209</v>
      </c>
      <c r="G153">
        <v>2.9</v>
      </c>
      <c r="K153" t="s">
        <v>1</v>
      </c>
      <c r="L153" t="s">
        <v>471</v>
      </c>
      <c r="M153" t="s">
        <v>697</v>
      </c>
      <c r="N153" t="s">
        <v>30</v>
      </c>
      <c r="O153" t="s">
        <v>209</v>
      </c>
      <c r="P153">
        <v>12.61</v>
      </c>
    </row>
    <row r="154" spans="1:16" x14ac:dyDescent="0.25">
      <c r="B154" t="s">
        <v>1</v>
      </c>
      <c r="C154" t="s">
        <v>109</v>
      </c>
      <c r="D154" t="s">
        <v>244</v>
      </c>
      <c r="E154" t="s">
        <v>30</v>
      </c>
      <c r="F154" t="s">
        <v>211</v>
      </c>
      <c r="G154">
        <v>2.7</v>
      </c>
      <c r="K154" t="s">
        <v>1</v>
      </c>
      <c r="L154" t="s">
        <v>472</v>
      </c>
      <c r="M154" t="s">
        <v>698</v>
      </c>
      <c r="N154" t="s">
        <v>30</v>
      </c>
      <c r="O154" t="s">
        <v>211</v>
      </c>
      <c r="P154">
        <v>12.8</v>
      </c>
    </row>
    <row r="155" spans="1:16" x14ac:dyDescent="0.25">
      <c r="B155" t="s">
        <v>1</v>
      </c>
      <c r="C155" t="s">
        <v>110</v>
      </c>
      <c r="D155" t="s">
        <v>245</v>
      </c>
      <c r="E155" t="s">
        <v>30</v>
      </c>
      <c r="F155" t="s">
        <v>213</v>
      </c>
      <c r="G155">
        <v>2.5</v>
      </c>
      <c r="K155" t="s">
        <v>1</v>
      </c>
      <c r="L155" t="s">
        <v>473</v>
      </c>
      <c r="M155" t="s">
        <v>699</v>
      </c>
      <c r="N155" t="s">
        <v>30</v>
      </c>
      <c r="O155" t="s">
        <v>213</v>
      </c>
      <c r="P155">
        <v>12.95</v>
      </c>
    </row>
    <row r="156" spans="1:16" x14ac:dyDescent="0.25">
      <c r="B156" t="s">
        <v>1</v>
      </c>
      <c r="C156" t="s">
        <v>111</v>
      </c>
      <c r="D156" t="s">
        <v>246</v>
      </c>
      <c r="E156" t="s">
        <v>30</v>
      </c>
      <c r="F156" t="s">
        <v>217</v>
      </c>
      <c r="G156">
        <v>2.2000000000000002</v>
      </c>
      <c r="K156" t="s">
        <v>1</v>
      </c>
      <c r="L156" t="s">
        <v>474</v>
      </c>
      <c r="M156" t="s">
        <v>700</v>
      </c>
      <c r="N156" t="s">
        <v>30</v>
      </c>
      <c r="O156" t="s">
        <v>217</v>
      </c>
      <c r="P156">
        <v>13.3</v>
      </c>
    </row>
    <row r="157" spans="1:16" x14ac:dyDescent="0.25">
      <c r="B157" t="s">
        <v>1</v>
      </c>
      <c r="C157" t="s">
        <v>112</v>
      </c>
      <c r="D157" t="s">
        <v>247</v>
      </c>
      <c r="E157" t="s">
        <v>30</v>
      </c>
      <c r="F157" t="s">
        <v>221</v>
      </c>
      <c r="G157">
        <v>2</v>
      </c>
      <c r="K157" t="s">
        <v>1</v>
      </c>
      <c r="L157" t="s">
        <v>475</v>
      </c>
      <c r="M157" t="s">
        <v>701</v>
      </c>
      <c r="N157" t="s">
        <v>30</v>
      </c>
      <c r="O157" t="s">
        <v>221</v>
      </c>
      <c r="P157" t="s">
        <v>615</v>
      </c>
    </row>
    <row r="159" spans="1:16" x14ac:dyDescent="0.25">
      <c r="A159" t="s">
        <v>95</v>
      </c>
      <c r="B159" t="s">
        <v>8</v>
      </c>
      <c r="C159" t="s">
        <v>114</v>
      </c>
      <c r="D159" t="s">
        <v>248</v>
      </c>
      <c r="E159" t="s">
        <v>30</v>
      </c>
      <c r="F159" t="s">
        <v>183</v>
      </c>
      <c r="G159">
        <v>2.2999999999999998</v>
      </c>
      <c r="J159" t="s">
        <v>95</v>
      </c>
      <c r="K159" t="s">
        <v>11</v>
      </c>
      <c r="L159" t="s">
        <v>476</v>
      </c>
      <c r="M159" t="s">
        <v>702</v>
      </c>
      <c r="N159" t="s">
        <v>30</v>
      </c>
      <c r="O159" t="s">
        <v>183</v>
      </c>
      <c r="P159">
        <v>3.8</v>
      </c>
    </row>
    <row r="160" spans="1:16" x14ac:dyDescent="0.25">
      <c r="B160" t="s">
        <v>8</v>
      </c>
      <c r="C160" t="s">
        <v>115</v>
      </c>
      <c r="D160" t="s">
        <v>249</v>
      </c>
      <c r="E160" t="s">
        <v>30</v>
      </c>
      <c r="F160" t="s">
        <v>185</v>
      </c>
      <c r="G160">
        <v>2.65</v>
      </c>
      <c r="K160" t="s">
        <v>11</v>
      </c>
      <c r="L160" t="s">
        <v>477</v>
      </c>
      <c r="M160" t="s">
        <v>703</v>
      </c>
      <c r="N160" t="s">
        <v>30</v>
      </c>
      <c r="O160" t="s">
        <v>185</v>
      </c>
      <c r="P160">
        <v>6.8125</v>
      </c>
    </row>
    <row r="161" spans="2:16" x14ac:dyDescent="0.25">
      <c r="B161" t="s">
        <v>8</v>
      </c>
      <c r="C161" t="s">
        <v>116</v>
      </c>
      <c r="D161" t="s">
        <v>250</v>
      </c>
      <c r="E161" t="s">
        <v>30</v>
      </c>
      <c r="F161" t="s">
        <v>187</v>
      </c>
      <c r="G161">
        <v>2.9</v>
      </c>
      <c r="K161" t="s">
        <v>11</v>
      </c>
      <c r="L161" t="s">
        <v>478</v>
      </c>
      <c r="M161" t="s">
        <v>704</v>
      </c>
      <c r="N161" t="s">
        <v>30</v>
      </c>
      <c r="O161" t="s">
        <v>187</v>
      </c>
      <c r="P161">
        <v>9.4</v>
      </c>
    </row>
    <row r="162" spans="2:16" x14ac:dyDescent="0.25">
      <c r="B162" t="s">
        <v>8</v>
      </c>
      <c r="C162" t="s">
        <v>117</v>
      </c>
      <c r="D162" t="s">
        <v>251</v>
      </c>
      <c r="E162" t="s">
        <v>30</v>
      </c>
      <c r="F162" t="s">
        <v>189</v>
      </c>
      <c r="G162">
        <v>3.1</v>
      </c>
      <c r="K162" t="s">
        <v>11</v>
      </c>
      <c r="L162" t="s">
        <v>479</v>
      </c>
      <c r="M162" t="s">
        <v>705</v>
      </c>
      <c r="N162" t="s">
        <v>30</v>
      </c>
      <c r="O162" t="s">
        <v>189</v>
      </c>
      <c r="P162">
        <v>10.8</v>
      </c>
    </row>
    <row r="163" spans="2:16" x14ac:dyDescent="0.25">
      <c r="B163" t="s">
        <v>8</v>
      </c>
      <c r="C163" t="s">
        <v>118</v>
      </c>
      <c r="D163" t="s">
        <v>252</v>
      </c>
      <c r="E163" t="s">
        <v>30</v>
      </c>
      <c r="F163" t="s">
        <v>191</v>
      </c>
      <c r="G163">
        <v>3.25</v>
      </c>
      <c r="K163" t="s">
        <v>11</v>
      </c>
      <c r="L163" t="s">
        <v>480</v>
      </c>
      <c r="M163" t="s">
        <v>706</v>
      </c>
      <c r="N163" t="s">
        <v>30</v>
      </c>
      <c r="O163" t="s">
        <v>191</v>
      </c>
      <c r="P163">
        <v>11.8125</v>
      </c>
    </row>
    <row r="164" spans="2:16" x14ac:dyDescent="0.25">
      <c r="B164" t="s">
        <v>8</v>
      </c>
      <c r="C164" t="s">
        <v>119</v>
      </c>
      <c r="D164" t="s">
        <v>253</v>
      </c>
      <c r="E164" t="s">
        <v>30</v>
      </c>
      <c r="F164" t="s">
        <v>193</v>
      </c>
      <c r="G164">
        <v>3.15</v>
      </c>
      <c r="K164" t="s">
        <v>11</v>
      </c>
      <c r="L164" t="s">
        <v>481</v>
      </c>
      <c r="M164" t="s">
        <v>707</v>
      </c>
      <c r="N164" t="s">
        <v>30</v>
      </c>
      <c r="O164" t="s">
        <v>193</v>
      </c>
      <c r="P164">
        <v>12.4375</v>
      </c>
    </row>
    <row r="165" spans="2:16" x14ac:dyDescent="0.25">
      <c r="B165" t="s">
        <v>8</v>
      </c>
      <c r="C165" t="s">
        <v>120</v>
      </c>
      <c r="D165" t="s">
        <v>254</v>
      </c>
      <c r="E165" t="s">
        <v>30</v>
      </c>
      <c r="F165" t="s">
        <v>195</v>
      </c>
      <c r="G165">
        <v>3</v>
      </c>
      <c r="K165" t="s">
        <v>11</v>
      </c>
      <c r="L165" t="s">
        <v>482</v>
      </c>
      <c r="M165" t="s">
        <v>708</v>
      </c>
      <c r="N165" t="s">
        <v>30</v>
      </c>
      <c r="O165" t="s">
        <v>195</v>
      </c>
      <c r="P165">
        <v>12.8125</v>
      </c>
    </row>
    <row r="166" spans="2:16" x14ac:dyDescent="0.25">
      <c r="B166" t="s">
        <v>8</v>
      </c>
      <c r="C166" t="s">
        <v>121</v>
      </c>
      <c r="D166" t="s">
        <v>255</v>
      </c>
      <c r="E166" t="s">
        <v>30</v>
      </c>
      <c r="F166" t="s">
        <v>197</v>
      </c>
      <c r="G166">
        <v>2.8</v>
      </c>
      <c r="K166" t="s">
        <v>11</v>
      </c>
      <c r="L166" t="s">
        <v>483</v>
      </c>
      <c r="M166" t="s">
        <v>709</v>
      </c>
      <c r="N166" t="s">
        <v>30</v>
      </c>
      <c r="O166" t="s">
        <v>197</v>
      </c>
      <c r="P166">
        <v>13.13</v>
      </c>
    </row>
    <row r="167" spans="2:16" x14ac:dyDescent="0.25">
      <c r="B167" t="s">
        <v>8</v>
      </c>
      <c r="C167" t="s">
        <v>122</v>
      </c>
      <c r="D167" t="s">
        <v>256</v>
      </c>
      <c r="E167" t="s">
        <v>30</v>
      </c>
      <c r="F167" t="s">
        <v>199</v>
      </c>
      <c r="G167">
        <v>2.6</v>
      </c>
      <c r="K167" t="s">
        <v>11</v>
      </c>
      <c r="L167" t="s">
        <v>484</v>
      </c>
      <c r="M167" t="s">
        <v>710</v>
      </c>
      <c r="N167" t="s">
        <v>30</v>
      </c>
      <c r="O167" t="s">
        <v>199</v>
      </c>
      <c r="P167">
        <v>13.4375</v>
      </c>
    </row>
    <row r="168" spans="2:16" x14ac:dyDescent="0.25">
      <c r="B168" t="s">
        <v>8</v>
      </c>
      <c r="C168" t="s">
        <v>123</v>
      </c>
      <c r="D168" t="s">
        <v>257</v>
      </c>
      <c r="E168" t="s">
        <v>30</v>
      </c>
      <c r="F168" t="s">
        <v>201</v>
      </c>
      <c r="G168">
        <v>2.2999999999999998</v>
      </c>
      <c r="K168" t="s">
        <v>11</v>
      </c>
      <c r="L168" t="s">
        <v>485</v>
      </c>
      <c r="M168" t="s">
        <v>711</v>
      </c>
      <c r="N168" t="s">
        <v>30</v>
      </c>
      <c r="O168" t="s">
        <v>201</v>
      </c>
      <c r="P168">
        <v>13.625</v>
      </c>
    </row>
    <row r="169" spans="2:16" x14ac:dyDescent="0.25">
      <c r="B169" t="s">
        <v>8</v>
      </c>
      <c r="C169" t="s">
        <v>124</v>
      </c>
      <c r="D169" t="s">
        <v>258</v>
      </c>
      <c r="E169" t="s">
        <v>30</v>
      </c>
      <c r="F169" t="s">
        <v>205</v>
      </c>
      <c r="G169">
        <v>1.8</v>
      </c>
      <c r="K169" t="s">
        <v>11</v>
      </c>
      <c r="L169" t="s">
        <v>486</v>
      </c>
      <c r="M169" t="s">
        <v>712</v>
      </c>
      <c r="N169" t="s">
        <v>30</v>
      </c>
      <c r="O169" t="s">
        <v>205</v>
      </c>
      <c r="P169">
        <v>14</v>
      </c>
    </row>
    <row r="170" spans="2:16" x14ac:dyDescent="0.25">
      <c r="B170" t="s">
        <v>8</v>
      </c>
      <c r="C170" t="s">
        <v>125</v>
      </c>
      <c r="D170" t="s">
        <v>259</v>
      </c>
      <c r="E170" t="s">
        <v>30</v>
      </c>
      <c r="F170" t="s">
        <v>207</v>
      </c>
      <c r="G170">
        <v>1.2</v>
      </c>
      <c r="K170" t="s">
        <v>11</v>
      </c>
      <c r="L170" t="s">
        <v>487</v>
      </c>
      <c r="M170" t="s">
        <v>713</v>
      </c>
      <c r="N170" t="s">
        <v>30</v>
      </c>
      <c r="O170" t="s">
        <v>207</v>
      </c>
      <c r="P170">
        <v>14.375</v>
      </c>
    </row>
    <row r="171" spans="2:16" x14ac:dyDescent="0.25">
      <c r="B171" t="s">
        <v>8</v>
      </c>
      <c r="C171" t="s">
        <v>126</v>
      </c>
      <c r="D171" t="s">
        <v>260</v>
      </c>
      <c r="E171" t="s">
        <v>30</v>
      </c>
      <c r="F171" t="s">
        <v>209</v>
      </c>
      <c r="G171">
        <v>0.55000000000000004</v>
      </c>
      <c r="K171" t="s">
        <v>11</v>
      </c>
      <c r="L171" t="s">
        <v>488</v>
      </c>
      <c r="M171" t="s">
        <v>714</v>
      </c>
      <c r="N171" t="s">
        <v>30</v>
      </c>
      <c r="O171" t="s">
        <v>209</v>
      </c>
      <c r="P171">
        <v>14.75</v>
      </c>
    </row>
    <row r="172" spans="2:16" x14ac:dyDescent="0.25">
      <c r="B172" t="s">
        <v>8</v>
      </c>
      <c r="C172" t="s">
        <v>127</v>
      </c>
      <c r="D172" t="s">
        <v>261</v>
      </c>
      <c r="E172" t="s">
        <v>30</v>
      </c>
      <c r="F172" t="s">
        <v>211</v>
      </c>
      <c r="G172">
        <v>0.1</v>
      </c>
      <c r="K172" t="s">
        <v>11</v>
      </c>
      <c r="L172" t="s">
        <v>489</v>
      </c>
      <c r="M172" t="s">
        <v>715</v>
      </c>
      <c r="N172" t="s">
        <v>30</v>
      </c>
      <c r="O172" t="s">
        <v>211</v>
      </c>
      <c r="P172">
        <v>15</v>
      </c>
    </row>
    <row r="173" spans="2:16" x14ac:dyDescent="0.25">
      <c r="B173" t="s">
        <v>8</v>
      </c>
      <c r="C173" t="s">
        <v>128</v>
      </c>
      <c r="D173" t="s">
        <v>262</v>
      </c>
      <c r="E173" t="s">
        <v>30</v>
      </c>
      <c r="F173" t="s">
        <v>213</v>
      </c>
      <c r="G173">
        <v>-0.25</v>
      </c>
      <c r="K173" t="s">
        <v>11</v>
      </c>
      <c r="L173" t="s">
        <v>490</v>
      </c>
      <c r="M173" t="s">
        <v>716</v>
      </c>
      <c r="N173" t="s">
        <v>30</v>
      </c>
      <c r="O173" t="s">
        <v>213</v>
      </c>
      <c r="P173">
        <v>15.074999999999999</v>
      </c>
    </row>
    <row r="174" spans="2:16" x14ac:dyDescent="0.25">
      <c r="B174" t="s">
        <v>8</v>
      </c>
      <c r="C174" t="s">
        <v>129</v>
      </c>
      <c r="D174" t="s">
        <v>263</v>
      </c>
      <c r="E174" t="s">
        <v>30</v>
      </c>
      <c r="F174" t="s">
        <v>217</v>
      </c>
      <c r="G174">
        <v>-0.95</v>
      </c>
      <c r="K174" t="s">
        <v>11</v>
      </c>
      <c r="L174" t="s">
        <v>491</v>
      </c>
      <c r="M174" t="s">
        <v>717</v>
      </c>
      <c r="N174" t="s">
        <v>30</v>
      </c>
      <c r="O174" t="s">
        <v>217</v>
      </c>
      <c r="P174" t="s">
        <v>615</v>
      </c>
    </row>
    <row r="175" spans="2:16" x14ac:dyDescent="0.25">
      <c r="B175" t="s">
        <v>8</v>
      </c>
      <c r="C175" t="s">
        <v>113</v>
      </c>
      <c r="D175" t="s">
        <v>264</v>
      </c>
      <c r="E175" t="s">
        <v>30</v>
      </c>
      <c r="F175" t="s">
        <v>221</v>
      </c>
      <c r="G175">
        <v>-1.55</v>
      </c>
      <c r="K175" t="s">
        <v>11</v>
      </c>
      <c r="L175" t="s">
        <v>492</v>
      </c>
      <c r="M175" t="s">
        <v>718</v>
      </c>
      <c r="N175" t="s">
        <v>30</v>
      </c>
      <c r="O175" t="s">
        <v>221</v>
      </c>
      <c r="P175" t="s">
        <v>615</v>
      </c>
    </row>
    <row r="177" spans="1:12" x14ac:dyDescent="0.25">
      <c r="A177" t="s">
        <v>95</v>
      </c>
      <c r="B177" t="s">
        <v>78</v>
      </c>
      <c r="C177" t="s">
        <v>130</v>
      </c>
      <c r="D177" t="s">
        <v>265</v>
      </c>
      <c r="E177" t="s">
        <v>30</v>
      </c>
      <c r="F177" t="s">
        <v>183</v>
      </c>
      <c r="G177">
        <v>3.2</v>
      </c>
      <c r="J177" t="s">
        <v>95</v>
      </c>
      <c r="K177" t="s">
        <v>78</v>
      </c>
      <c r="L177" t="s">
        <v>493</v>
      </c>
    </row>
    <row r="178" spans="1:12" x14ac:dyDescent="0.25">
      <c r="B178" t="s">
        <v>78</v>
      </c>
      <c r="C178" t="s">
        <v>131</v>
      </c>
      <c r="D178" t="s">
        <v>266</v>
      </c>
      <c r="E178" t="s">
        <v>30</v>
      </c>
      <c r="F178" t="s">
        <v>185</v>
      </c>
      <c r="G178">
        <v>5.5</v>
      </c>
      <c r="K178" t="s">
        <v>78</v>
      </c>
    </row>
    <row r="179" spans="1:12" x14ac:dyDescent="0.25">
      <c r="B179" t="s">
        <v>78</v>
      </c>
      <c r="C179" t="s">
        <v>132</v>
      </c>
      <c r="D179" t="s">
        <v>267</v>
      </c>
      <c r="E179" t="s">
        <v>30</v>
      </c>
      <c r="F179" t="s">
        <v>187</v>
      </c>
      <c r="G179">
        <v>6.6</v>
      </c>
      <c r="K179" t="s">
        <v>78</v>
      </c>
    </row>
    <row r="180" spans="1:12" x14ac:dyDescent="0.25">
      <c r="B180" t="s">
        <v>78</v>
      </c>
      <c r="C180" t="s">
        <v>133</v>
      </c>
      <c r="D180" t="s">
        <v>268</v>
      </c>
      <c r="E180" t="s">
        <v>30</v>
      </c>
      <c r="F180" t="s">
        <v>189</v>
      </c>
      <c r="G180">
        <v>7</v>
      </c>
      <c r="K180" t="s">
        <v>78</v>
      </c>
    </row>
    <row r="181" spans="1:12" x14ac:dyDescent="0.25">
      <c r="B181" t="s">
        <v>78</v>
      </c>
      <c r="C181" t="s">
        <v>134</v>
      </c>
      <c r="D181" t="s">
        <v>269</v>
      </c>
      <c r="E181" t="s">
        <v>30</v>
      </c>
      <c r="F181" t="s">
        <v>191</v>
      </c>
      <c r="G181">
        <v>7.3</v>
      </c>
      <c r="K181" t="s">
        <v>78</v>
      </c>
    </row>
    <row r="182" spans="1:12" x14ac:dyDescent="0.25">
      <c r="B182" t="s">
        <v>78</v>
      </c>
      <c r="C182" t="s">
        <v>135</v>
      </c>
      <c r="D182" t="s">
        <v>270</v>
      </c>
      <c r="E182" t="s">
        <v>30</v>
      </c>
      <c r="F182" t="s">
        <v>193</v>
      </c>
      <c r="G182">
        <v>7.6</v>
      </c>
      <c r="K182" t="s">
        <v>78</v>
      </c>
    </row>
    <row r="183" spans="1:12" x14ac:dyDescent="0.25">
      <c r="B183" t="s">
        <v>78</v>
      </c>
      <c r="C183" t="s">
        <v>136</v>
      </c>
      <c r="D183" t="s">
        <v>271</v>
      </c>
      <c r="E183" t="s">
        <v>30</v>
      </c>
      <c r="F183" t="s">
        <v>195</v>
      </c>
      <c r="G183">
        <v>7.9</v>
      </c>
      <c r="K183" t="s">
        <v>78</v>
      </c>
    </row>
    <row r="184" spans="1:12" x14ac:dyDescent="0.25">
      <c r="B184" t="s">
        <v>78</v>
      </c>
      <c r="C184" t="s">
        <v>137</v>
      </c>
      <c r="D184" t="s">
        <v>272</v>
      </c>
      <c r="E184" t="s">
        <v>30</v>
      </c>
      <c r="F184" t="s">
        <v>197</v>
      </c>
      <c r="G184">
        <v>8.1</v>
      </c>
      <c r="K184" t="s">
        <v>78</v>
      </c>
    </row>
    <row r="185" spans="1:12" x14ac:dyDescent="0.25">
      <c r="B185" t="s">
        <v>78</v>
      </c>
      <c r="C185" t="s">
        <v>138</v>
      </c>
      <c r="D185" t="s">
        <v>273</v>
      </c>
      <c r="E185" t="s">
        <v>30</v>
      </c>
      <c r="F185" t="s">
        <v>199</v>
      </c>
      <c r="G185">
        <v>8.1999999999999993</v>
      </c>
      <c r="K185" t="s">
        <v>78</v>
      </c>
    </row>
    <row r="186" spans="1:12" x14ac:dyDescent="0.25">
      <c r="B186" t="s">
        <v>78</v>
      </c>
      <c r="C186" t="s">
        <v>139</v>
      </c>
      <c r="D186" t="s">
        <v>274</v>
      </c>
      <c r="E186" t="s">
        <v>30</v>
      </c>
      <c r="F186" t="s">
        <v>201</v>
      </c>
      <c r="G186">
        <v>8.4</v>
      </c>
      <c r="K186" t="s">
        <v>78</v>
      </c>
    </row>
    <row r="187" spans="1:12" x14ac:dyDescent="0.25">
      <c r="B187" t="s">
        <v>78</v>
      </c>
      <c r="C187" t="s">
        <v>140</v>
      </c>
      <c r="D187" t="s">
        <v>275</v>
      </c>
      <c r="E187" t="s">
        <v>30</v>
      </c>
      <c r="F187" t="s">
        <v>205</v>
      </c>
      <c r="G187">
        <v>8.6</v>
      </c>
      <c r="K187" t="s">
        <v>78</v>
      </c>
    </row>
    <row r="188" spans="1:12" x14ac:dyDescent="0.25">
      <c r="B188" t="s">
        <v>78</v>
      </c>
      <c r="C188" t="s">
        <v>141</v>
      </c>
      <c r="D188" t="s">
        <v>276</v>
      </c>
      <c r="E188" t="s">
        <v>30</v>
      </c>
      <c r="F188" t="s">
        <v>207</v>
      </c>
      <c r="G188">
        <v>8.6999999999999993</v>
      </c>
      <c r="K188" t="s">
        <v>78</v>
      </c>
    </row>
    <row r="189" spans="1:12" x14ac:dyDescent="0.25">
      <c r="B189" t="s">
        <v>78</v>
      </c>
      <c r="C189" t="s">
        <v>142</v>
      </c>
      <c r="D189" t="s">
        <v>277</v>
      </c>
      <c r="E189" t="s">
        <v>30</v>
      </c>
      <c r="F189" t="s">
        <v>209</v>
      </c>
      <c r="G189">
        <v>8.6999999999999993</v>
      </c>
      <c r="K189" t="s">
        <v>78</v>
      </c>
    </row>
    <row r="190" spans="1:12" x14ac:dyDescent="0.25">
      <c r="B190" t="s">
        <v>78</v>
      </c>
      <c r="C190" t="s">
        <v>143</v>
      </c>
      <c r="D190" t="s">
        <v>278</v>
      </c>
      <c r="E190" t="s">
        <v>30</v>
      </c>
      <c r="F190" t="s">
        <v>211</v>
      </c>
      <c r="G190">
        <v>8.6999999999999993</v>
      </c>
      <c r="K190" t="s">
        <v>78</v>
      </c>
    </row>
    <row r="191" spans="1:12" x14ac:dyDescent="0.25">
      <c r="B191" t="s">
        <v>78</v>
      </c>
      <c r="C191" t="s">
        <v>144</v>
      </c>
      <c r="D191" t="s">
        <v>279</v>
      </c>
      <c r="E191" t="s">
        <v>30</v>
      </c>
      <c r="F191" t="s">
        <v>213</v>
      </c>
      <c r="G191">
        <v>8.6</v>
      </c>
      <c r="K191" t="s">
        <v>78</v>
      </c>
    </row>
    <row r="192" spans="1:12" x14ac:dyDescent="0.25">
      <c r="B192" t="s">
        <v>78</v>
      </c>
      <c r="C192" t="s">
        <v>145</v>
      </c>
      <c r="D192" t="s">
        <v>280</v>
      </c>
      <c r="E192" t="s">
        <v>30</v>
      </c>
      <c r="F192" t="s">
        <v>217</v>
      </c>
      <c r="G192">
        <v>8.1999999999999993</v>
      </c>
      <c r="K192" t="s">
        <v>78</v>
      </c>
    </row>
    <row r="193" spans="1:11" x14ac:dyDescent="0.25">
      <c r="B193" t="s">
        <v>78</v>
      </c>
      <c r="C193" t="s">
        <v>146</v>
      </c>
      <c r="D193" t="s">
        <v>281</v>
      </c>
      <c r="E193" t="s">
        <v>30</v>
      </c>
      <c r="F193" t="s">
        <v>221</v>
      </c>
      <c r="G193">
        <v>7.6</v>
      </c>
      <c r="K193" t="s">
        <v>78</v>
      </c>
    </row>
    <row r="196" spans="1:11" x14ac:dyDescent="0.25">
      <c r="A196" t="s">
        <v>518</v>
      </c>
      <c r="B196" t="s">
        <v>494</v>
      </c>
      <c r="C196" t="s">
        <v>513</v>
      </c>
      <c r="D196" t="s">
        <v>719</v>
      </c>
      <c r="E196" t="s">
        <v>30</v>
      </c>
      <c r="F196" t="s">
        <v>720</v>
      </c>
      <c r="G196">
        <v>-5.69102</v>
      </c>
    </row>
    <row r="197" spans="1:11" x14ac:dyDescent="0.25">
      <c r="C197" t="s">
        <v>516</v>
      </c>
      <c r="D197" t="s">
        <v>721</v>
      </c>
      <c r="E197" t="s">
        <v>30</v>
      </c>
      <c r="F197" t="s">
        <v>722</v>
      </c>
      <c r="G197">
        <v>-13.29133</v>
      </c>
    </row>
    <row r="198" spans="1:11" x14ac:dyDescent="0.25">
      <c r="C198" t="s">
        <v>514</v>
      </c>
      <c r="D198" t="s">
        <v>723</v>
      </c>
      <c r="E198" t="s">
        <v>30</v>
      </c>
      <c r="F198" t="s">
        <v>724</v>
      </c>
      <c r="G198">
        <v>-18.933109999999999</v>
      </c>
    </row>
    <row r="199" spans="1:11" x14ac:dyDescent="0.25">
      <c r="C199" t="s">
        <v>515</v>
      </c>
      <c r="D199" t="s">
        <v>725</v>
      </c>
      <c r="E199" t="s">
        <v>30</v>
      </c>
      <c r="F199" t="s">
        <v>726</v>
      </c>
      <c r="G199">
        <v>-35.510809999999999</v>
      </c>
    </row>
    <row r="200" spans="1:11" x14ac:dyDescent="0.25">
      <c r="C200" t="s">
        <v>517</v>
      </c>
      <c r="D200" t="s">
        <v>727</v>
      </c>
      <c r="E200" t="s">
        <v>30</v>
      </c>
      <c r="F200" t="s">
        <v>728</v>
      </c>
      <c r="G200">
        <v>-52.893650000000001</v>
      </c>
    </row>
    <row r="201" spans="1:11" x14ac:dyDescent="0.25">
      <c r="A201" t="s">
        <v>519</v>
      </c>
      <c r="B201" t="s">
        <v>495</v>
      </c>
      <c r="C201" t="s">
        <v>496</v>
      </c>
      <c r="D201" t="s">
        <v>729</v>
      </c>
      <c r="E201" t="s">
        <v>30</v>
      </c>
      <c r="F201" t="s">
        <v>183</v>
      </c>
      <c r="G201">
        <v>-8</v>
      </c>
    </row>
    <row r="202" spans="1:11" x14ac:dyDescent="0.25">
      <c r="C202" t="s">
        <v>497</v>
      </c>
      <c r="D202" t="s">
        <v>730</v>
      </c>
      <c r="E202" t="s">
        <v>30</v>
      </c>
      <c r="F202" t="s">
        <v>185</v>
      </c>
      <c r="G202">
        <v>-8.375</v>
      </c>
    </row>
    <row r="203" spans="1:11" x14ac:dyDescent="0.25">
      <c r="C203" t="s">
        <v>498</v>
      </c>
      <c r="D203" t="s">
        <v>731</v>
      </c>
      <c r="E203" t="s">
        <v>30</v>
      </c>
      <c r="F203" t="s">
        <v>187</v>
      </c>
      <c r="G203">
        <v>-9.125</v>
      </c>
    </row>
    <row r="204" spans="1:11" x14ac:dyDescent="0.25">
      <c r="C204" t="s">
        <v>499</v>
      </c>
      <c r="D204" t="s">
        <v>732</v>
      </c>
      <c r="E204" t="s">
        <v>30</v>
      </c>
      <c r="F204" t="s">
        <v>189</v>
      </c>
      <c r="G204">
        <v>-10.625</v>
      </c>
    </row>
    <row r="205" spans="1:11" x14ac:dyDescent="0.25">
      <c r="C205" t="s">
        <v>500</v>
      </c>
      <c r="D205" t="s">
        <v>733</v>
      </c>
      <c r="E205" t="s">
        <v>30</v>
      </c>
      <c r="F205" t="s">
        <v>191</v>
      </c>
      <c r="G205">
        <v>-12.125</v>
      </c>
    </row>
    <row r="206" spans="1:11" x14ac:dyDescent="0.25">
      <c r="C206" t="s">
        <v>501</v>
      </c>
      <c r="D206" t="s">
        <v>734</v>
      </c>
      <c r="E206" t="s">
        <v>30</v>
      </c>
      <c r="F206" t="s">
        <v>193</v>
      </c>
      <c r="G206">
        <v>-13.75</v>
      </c>
    </row>
    <row r="207" spans="1:11" x14ac:dyDescent="0.25">
      <c r="C207" t="s">
        <v>502</v>
      </c>
      <c r="D207" t="s">
        <v>735</v>
      </c>
      <c r="E207" t="s">
        <v>30</v>
      </c>
      <c r="F207" t="s">
        <v>195</v>
      </c>
      <c r="G207">
        <v>-14.875</v>
      </c>
    </row>
    <row r="208" spans="1:11" x14ac:dyDescent="0.25">
      <c r="C208" t="s">
        <v>503</v>
      </c>
      <c r="D208" t="s">
        <v>736</v>
      </c>
      <c r="E208" t="s">
        <v>30</v>
      </c>
      <c r="F208" t="s">
        <v>197</v>
      </c>
      <c r="G208">
        <v>-15.625</v>
      </c>
    </row>
    <row r="209" spans="3:7" x14ac:dyDescent="0.25">
      <c r="C209" t="s">
        <v>504</v>
      </c>
      <c r="D209" t="s">
        <v>737</v>
      </c>
      <c r="E209" t="s">
        <v>30</v>
      </c>
      <c r="F209" t="s">
        <v>199</v>
      </c>
      <c r="G209">
        <v>-16.25</v>
      </c>
    </row>
    <row r="210" spans="3:7" x14ac:dyDescent="0.25">
      <c r="C210" t="s">
        <v>505</v>
      </c>
      <c r="D210" t="s">
        <v>738</v>
      </c>
      <c r="E210" t="s">
        <v>30</v>
      </c>
      <c r="F210" t="s">
        <v>201</v>
      </c>
      <c r="G210">
        <v>-16.875</v>
      </c>
    </row>
    <row r="211" spans="3:7" x14ac:dyDescent="0.25">
      <c r="C211" t="s">
        <v>506</v>
      </c>
      <c r="D211" t="s">
        <v>739</v>
      </c>
      <c r="E211" t="s">
        <v>30</v>
      </c>
      <c r="F211" t="s">
        <v>205</v>
      </c>
      <c r="G211">
        <v>-17.375</v>
      </c>
    </row>
    <row r="212" spans="3:7" x14ac:dyDescent="0.25">
      <c r="C212" t="s">
        <v>507</v>
      </c>
      <c r="D212" t="s">
        <v>740</v>
      </c>
      <c r="E212" t="s">
        <v>30</v>
      </c>
      <c r="F212" t="s">
        <v>207</v>
      </c>
      <c r="G212">
        <v>-17.375</v>
      </c>
    </row>
    <row r="213" spans="3:7" x14ac:dyDescent="0.25">
      <c r="C213" t="s">
        <v>508</v>
      </c>
      <c r="D213" t="s">
        <v>741</v>
      </c>
      <c r="E213" t="s">
        <v>30</v>
      </c>
      <c r="F213" t="s">
        <v>209</v>
      </c>
      <c r="G213">
        <v>-15.75</v>
      </c>
    </row>
    <row r="214" spans="3:7" x14ac:dyDescent="0.25">
      <c r="C214" t="s">
        <v>509</v>
      </c>
      <c r="D214" t="s">
        <v>742</v>
      </c>
      <c r="E214" t="s">
        <v>30</v>
      </c>
      <c r="F214" t="s">
        <v>211</v>
      </c>
      <c r="G214">
        <v>-12.5</v>
      </c>
    </row>
    <row r="215" spans="3:7" x14ac:dyDescent="0.25">
      <c r="C215" t="s">
        <v>510</v>
      </c>
      <c r="D215" t="s">
        <v>743</v>
      </c>
      <c r="E215" t="s">
        <v>30</v>
      </c>
      <c r="F215" t="s">
        <v>213</v>
      </c>
      <c r="G215">
        <v>-9.875</v>
      </c>
    </row>
    <row r="216" spans="3:7" x14ac:dyDescent="0.25">
      <c r="C216" t="s">
        <v>511</v>
      </c>
      <c r="D216" t="s">
        <v>744</v>
      </c>
      <c r="E216" t="s">
        <v>30</v>
      </c>
      <c r="F216" t="s">
        <v>217</v>
      </c>
      <c r="G216">
        <v>-7</v>
      </c>
    </row>
    <row r="217" spans="3:7" x14ac:dyDescent="0.25">
      <c r="C217" t="s">
        <v>512</v>
      </c>
      <c r="D217" t="s">
        <v>745</v>
      </c>
      <c r="E217" t="s">
        <v>30</v>
      </c>
      <c r="F217" t="s">
        <v>221</v>
      </c>
      <c r="G217">
        <v>-2.75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BF46-5938-4FC9-865C-C07F0E1D9A28}">
  <dimension ref="A1:J44"/>
  <sheetViews>
    <sheetView workbookViewId="0">
      <selection activeCell="G41" sqref="G41"/>
    </sheetView>
  </sheetViews>
  <sheetFormatPr defaultRowHeight="15" x14ac:dyDescent="0.25"/>
  <cols>
    <col min="2" max="2" width="18.28515625" bestFit="1" customWidth="1"/>
    <col min="4" max="4" width="24.7109375" bestFit="1" customWidth="1"/>
    <col min="6" max="6" width="10.5703125" bestFit="1" customWidth="1"/>
  </cols>
  <sheetData>
    <row r="1" spans="1:10" x14ac:dyDescent="0.25">
      <c r="A1" t="s">
        <v>282</v>
      </c>
      <c r="B1" s="2">
        <f ca="1">NOW()</f>
        <v>44155.428914004631</v>
      </c>
    </row>
    <row r="3" spans="1:10" x14ac:dyDescent="0.25">
      <c r="A3" s="3" t="s">
        <v>283</v>
      </c>
    </row>
    <row r="5" spans="1:10" x14ac:dyDescent="0.25">
      <c r="A5" t="s">
        <v>90</v>
      </c>
      <c r="B5" t="s">
        <v>31</v>
      </c>
      <c r="C5" t="s">
        <v>2</v>
      </c>
      <c r="E5" t="s">
        <v>26</v>
      </c>
      <c r="F5" t="s">
        <v>27</v>
      </c>
      <c r="G5" t="s">
        <v>28</v>
      </c>
    </row>
    <row r="6" spans="1:10" x14ac:dyDescent="0.25">
      <c r="A6" t="s">
        <v>91</v>
      </c>
      <c r="B6" t="s">
        <v>32</v>
      </c>
      <c r="C6" t="s">
        <v>29</v>
      </c>
      <c r="D6" t="e" cm="1">
        <f t="array" aca="1" ref="D6" ca="1">_xll.BDP(C6&amp;" ICPL Curncy","NAME_RT")</f>
        <v>#NAME?</v>
      </c>
      <c r="E6" t="s">
        <v>30</v>
      </c>
      <c r="F6" t="s">
        <v>1</v>
      </c>
      <c r="G6" t="e" cm="1">
        <f t="array" aca="1" ref="G6" ca="1">_xll.BDP(C6&amp;" ICPL Curncy","PX_LAST")</f>
        <v>#NAME?</v>
      </c>
      <c r="J6" t="s">
        <v>756</v>
      </c>
    </row>
    <row r="7" spans="1:10" x14ac:dyDescent="0.25">
      <c r="B7" t="s">
        <v>32</v>
      </c>
      <c r="C7" t="s">
        <v>33</v>
      </c>
      <c r="D7" t="e" cm="1">
        <f t="array" aca="1" ref="D7" ca="1">_xll.BDP(C7&amp;" ICPL Curncy","NAME_RT")</f>
        <v>#NAME?</v>
      </c>
      <c r="E7" t="s">
        <v>30</v>
      </c>
      <c r="F7" t="s">
        <v>7</v>
      </c>
      <c r="G7" t="e" cm="1">
        <f t="array" aca="1" ref="G7" ca="1">_xll.BDP(C7&amp;" ICPL Curncy","PX_LAST")</f>
        <v>#NAME?</v>
      </c>
      <c r="J7" t="s">
        <v>757</v>
      </c>
    </row>
    <row r="8" spans="1:10" x14ac:dyDescent="0.25">
      <c r="B8" t="s">
        <v>32</v>
      </c>
      <c r="C8" t="s">
        <v>34</v>
      </c>
      <c r="D8" t="e" cm="1">
        <f t="array" aca="1" ref="D8" ca="1">_xll.BDP(C8&amp;" ICPL Curncy","NAME_RT")</f>
        <v>#NAME?</v>
      </c>
      <c r="E8" t="s">
        <v>30</v>
      </c>
      <c r="F8" t="s">
        <v>8</v>
      </c>
      <c r="G8" t="e" cm="1">
        <f t="array" aca="1" ref="G8" ca="1">_xll.BDP(C8&amp;" ICPL Curncy","PX_LAST")</f>
        <v>#NAME?</v>
      </c>
      <c r="J8" t="s">
        <v>758</v>
      </c>
    </row>
    <row r="9" spans="1:10" x14ac:dyDescent="0.25">
      <c r="B9" t="s">
        <v>32</v>
      </c>
      <c r="C9" t="s">
        <v>40</v>
      </c>
      <c r="D9" t="e" cm="1">
        <f t="array" aca="1" ref="D9" ca="1">_xll.BDP(C9&amp;" ICPL Curncy","NAME_RT")</f>
        <v>#NAME?</v>
      </c>
      <c r="E9" t="s">
        <v>30</v>
      </c>
      <c r="F9" t="s">
        <v>11</v>
      </c>
      <c r="G9" t="e" cm="1">
        <f t="array" aca="1" ref="G9" ca="1">_xll.BDP(C9&amp;" ICPL Curncy","PX_LAST")</f>
        <v>#NAME?</v>
      </c>
      <c r="J9" t="s">
        <v>759</v>
      </c>
    </row>
    <row r="10" spans="1:10" x14ac:dyDescent="0.25">
      <c r="B10" t="s">
        <v>32</v>
      </c>
      <c r="C10" t="s">
        <v>41</v>
      </c>
      <c r="D10" t="e" cm="1">
        <f t="array" aca="1" ref="D10" ca="1">_xll.BDP(C10&amp;" ICPL Curncy","NAME_RT")</f>
        <v>#NAME?</v>
      </c>
      <c r="E10" t="s">
        <v>30</v>
      </c>
      <c r="F10" t="s">
        <v>44</v>
      </c>
      <c r="G10" t="e" cm="1">
        <f t="array" aca="1" ref="G10" ca="1">_xll.BDP(C10&amp;" ICPL Curncy","PX_LAST")</f>
        <v>#NAME?</v>
      </c>
      <c r="J10" t="s">
        <v>760</v>
      </c>
    </row>
    <row r="11" spans="1:10" x14ac:dyDescent="0.25">
      <c r="B11" t="s">
        <v>32</v>
      </c>
      <c r="C11" t="s">
        <v>42</v>
      </c>
      <c r="D11" t="e" cm="1">
        <f t="array" aca="1" ref="D11" ca="1">_xll.BDP(C11&amp;" ICPL Curncy","NAME_RT")</f>
        <v>#NAME?</v>
      </c>
      <c r="E11" t="s">
        <v>30</v>
      </c>
      <c r="F11" t="s">
        <v>46</v>
      </c>
      <c r="G11" t="e" cm="1">
        <f t="array" aca="1" ref="G11" ca="1">_xll.BDP(C11&amp;" ICPL Curncy","PX_LAST")</f>
        <v>#NAME?</v>
      </c>
      <c r="J11" t="s">
        <v>761</v>
      </c>
    </row>
    <row r="12" spans="1:10" x14ac:dyDescent="0.25">
      <c r="B12" t="s">
        <v>32</v>
      </c>
      <c r="C12" t="s">
        <v>746</v>
      </c>
      <c r="D12" t="e" cm="1">
        <f t="array" aca="1" ref="D12" ca="1">_xll.BDP(C12&amp;" ICPL Curncy","NAME_RT")</f>
        <v>#NAME?</v>
      </c>
      <c r="E12" t="s">
        <v>30</v>
      </c>
      <c r="F12" t="s">
        <v>44</v>
      </c>
      <c r="G12" t="e" cm="1">
        <f t="array" aca="1" ref="G12" ca="1">_xll.BDP(C12&amp;" ICPL Curncy","PX_LAST")</f>
        <v>#NAME?</v>
      </c>
      <c r="J12" t="s">
        <v>762</v>
      </c>
    </row>
    <row r="13" spans="1:10" x14ac:dyDescent="0.25">
      <c r="B13" t="s">
        <v>32</v>
      </c>
      <c r="C13" t="s">
        <v>747</v>
      </c>
      <c r="D13" t="e" cm="1">
        <f t="array" aca="1" ref="D13" ca="1">_xll.BDP(C13&amp;" ICPL Curncy","NAME_RT")</f>
        <v>#NAME?</v>
      </c>
      <c r="E13" t="s">
        <v>30</v>
      </c>
      <c r="F13" t="s">
        <v>46</v>
      </c>
      <c r="G13" t="e" cm="1">
        <f t="array" aca="1" ref="G13" ca="1">_xll.BDP(C13&amp;" ICPL Curncy","PX_LAST")</f>
        <v>#NAME?</v>
      </c>
      <c r="J13" t="s">
        <v>763</v>
      </c>
    </row>
    <row r="14" spans="1:10" x14ac:dyDescent="0.25">
      <c r="B14" t="s">
        <v>32</v>
      </c>
      <c r="C14" t="s">
        <v>748</v>
      </c>
      <c r="D14" t="e" cm="1">
        <f t="array" aca="1" ref="D14" ca="1">_xll.BDP(C14&amp;" ICPL Curncy","NAME_RT")</f>
        <v>#NAME?</v>
      </c>
      <c r="E14" t="s">
        <v>30</v>
      </c>
      <c r="F14" t="s">
        <v>44</v>
      </c>
      <c r="G14" t="e" cm="1">
        <f t="array" aca="1" ref="G14" ca="1">_xll.BDP(C14&amp;" ICPL Curncy","PX_LAST")</f>
        <v>#NAME?</v>
      </c>
      <c r="J14" t="s">
        <v>764</v>
      </c>
    </row>
    <row r="15" spans="1:10" x14ac:dyDescent="0.25">
      <c r="B15" t="s">
        <v>32</v>
      </c>
      <c r="C15" t="s">
        <v>749</v>
      </c>
      <c r="D15" t="e" cm="1">
        <f t="array" aca="1" ref="D15" ca="1">_xll.BDP(C15&amp;" ICPL Curncy","NAME_RT")</f>
        <v>#NAME?</v>
      </c>
      <c r="E15" t="s">
        <v>30</v>
      </c>
      <c r="F15" t="s">
        <v>44</v>
      </c>
      <c r="G15" t="e" cm="1">
        <f t="array" aca="1" ref="G15" ca="1">_xll.BDP(C15&amp;" ICPL Curncy","PX_LAST")</f>
        <v>#NAME?</v>
      </c>
      <c r="J15" t="s">
        <v>765</v>
      </c>
    </row>
    <row r="16" spans="1:10" x14ac:dyDescent="0.25">
      <c r="B16" t="s">
        <v>32</v>
      </c>
      <c r="C16" t="s">
        <v>750</v>
      </c>
      <c r="D16" t="e" cm="1">
        <f t="array" aca="1" ref="D16" ca="1">_xll.BDP(C16&amp;" ICPL Curncy","NAME_RT")</f>
        <v>#NAME?</v>
      </c>
      <c r="E16" t="s">
        <v>30</v>
      </c>
      <c r="F16" t="s">
        <v>46</v>
      </c>
      <c r="G16" t="e" cm="1">
        <f t="array" aca="1" ref="G16" ca="1">_xll.BDP(C16&amp;" ICPL Curncy","PX_LAST")</f>
        <v>#NAME?</v>
      </c>
      <c r="J16" t="s">
        <v>766</v>
      </c>
    </row>
    <row r="17" spans="2:10" x14ac:dyDescent="0.25">
      <c r="B17" t="s">
        <v>32</v>
      </c>
      <c r="C17" t="s">
        <v>751</v>
      </c>
      <c r="D17" t="e" cm="1">
        <f t="array" aca="1" ref="D17" ca="1">_xll.BDP(C17&amp;" ICPL Curncy","NAME_RT")</f>
        <v>#NAME?</v>
      </c>
      <c r="E17" t="s">
        <v>30</v>
      </c>
      <c r="F17" t="s">
        <v>44</v>
      </c>
      <c r="G17" t="e" cm="1">
        <f t="array" aca="1" ref="G17" ca="1">_xll.BDP(C17&amp;" ICPL Curncy","PX_LAST")</f>
        <v>#NAME?</v>
      </c>
      <c r="J17" t="s">
        <v>767</v>
      </c>
    </row>
    <row r="18" spans="2:10" x14ac:dyDescent="0.25">
      <c r="B18" t="s">
        <v>32</v>
      </c>
      <c r="C18" t="s">
        <v>752</v>
      </c>
      <c r="D18" t="e" cm="1">
        <f t="array" aca="1" ref="D18" ca="1">_xll.BDP(C18&amp;" ICPL Curncy","NAME_RT")</f>
        <v>#NAME?</v>
      </c>
      <c r="E18" t="s">
        <v>30</v>
      </c>
      <c r="F18" t="s">
        <v>46</v>
      </c>
      <c r="G18" t="e" cm="1">
        <f t="array" aca="1" ref="G18" ca="1">_xll.BDP(C18&amp;" ICPL Curncy","PX_LAST")</f>
        <v>#NAME?</v>
      </c>
      <c r="J18" t="s">
        <v>768</v>
      </c>
    </row>
    <row r="19" spans="2:10" x14ac:dyDescent="0.25">
      <c r="B19" t="s">
        <v>32</v>
      </c>
      <c r="C19" t="s">
        <v>753</v>
      </c>
      <c r="D19" t="e" cm="1">
        <f t="array" aca="1" ref="D19" ca="1">_xll.BDP(C19&amp;" ICPL Curncy","NAME_RT")</f>
        <v>#NAME?</v>
      </c>
      <c r="E19" t="s">
        <v>30</v>
      </c>
      <c r="F19" t="s">
        <v>44</v>
      </c>
      <c r="G19" t="e" cm="1">
        <f t="array" aca="1" ref="G19" ca="1">_xll.BDP(C19&amp;" ICPL Curncy","PX_LAST")</f>
        <v>#NAME?</v>
      </c>
      <c r="J19" t="s">
        <v>769</v>
      </c>
    </row>
    <row r="20" spans="2:10" x14ac:dyDescent="0.25">
      <c r="J20" t="s">
        <v>770</v>
      </c>
    </row>
    <row r="21" spans="2:10" x14ac:dyDescent="0.25">
      <c r="B21" t="s">
        <v>8</v>
      </c>
      <c r="C21" t="s">
        <v>80</v>
      </c>
      <c r="D21" t="e" cm="1">
        <f t="array" aca="1" ref="D21" ca="1">_xll.BDP(C21&amp;" Curncy","NAME")</f>
        <v>#NAME?</v>
      </c>
      <c r="E21" t="s">
        <v>30</v>
      </c>
      <c r="F21" t="s">
        <v>8</v>
      </c>
      <c r="G21" t="e" cm="1">
        <f t="array" aca="1" ref="G21" ca="1">_xll.BDP(C21&amp;" Curncy","PX_LAST")</f>
        <v>#NAME?</v>
      </c>
      <c r="J21" t="s">
        <v>771</v>
      </c>
    </row>
    <row r="22" spans="2:10" x14ac:dyDescent="0.25">
      <c r="B22" t="s">
        <v>8</v>
      </c>
      <c r="C22" t="s">
        <v>754</v>
      </c>
      <c r="D22" t="e" cm="1">
        <f t="array" aca="1" ref="D22" ca="1">_xll.BDP(C22&amp;" ICPL Curncy","NAME_RT")</f>
        <v>#NAME?</v>
      </c>
      <c r="E22" t="s">
        <v>8</v>
      </c>
      <c r="F22" t="s">
        <v>8</v>
      </c>
      <c r="G22" t="e" cm="1">
        <f t="array" aca="1" ref="G22" ca="1">_xll.BDP(C22&amp;" Curncy","PX_LAST")</f>
        <v>#NAME?</v>
      </c>
      <c r="J22" t="s">
        <v>772</v>
      </c>
    </row>
    <row r="23" spans="2:10" x14ac:dyDescent="0.25">
      <c r="B23" t="s">
        <v>8</v>
      </c>
      <c r="C23" t="s">
        <v>114</v>
      </c>
      <c r="D23" t="e" cm="1">
        <f t="array" aca="1" ref="D23" ca="1">_xll.BDP(C23&amp;" ICPL Curncy","NAME_RT")</f>
        <v>#NAME?</v>
      </c>
      <c r="E23" t="s">
        <v>30</v>
      </c>
      <c r="F23" t="e" cm="1">
        <f t="array" aca="1" ref="F23" ca="1">_xll.BDP(C23&amp;" Comdty","Maturity_RT")</f>
        <v>#NAME?</v>
      </c>
      <c r="G23" t="e" cm="1">
        <f t="array" aca="1" ref="G23" ca="1">_xll.BDP(C23&amp;" Comdty","PX_LAST")</f>
        <v>#NAME?</v>
      </c>
      <c r="J23" t="s">
        <v>773</v>
      </c>
    </row>
    <row r="24" spans="2:10" x14ac:dyDescent="0.25">
      <c r="B24" t="s">
        <v>8</v>
      </c>
      <c r="C24" t="s">
        <v>115</v>
      </c>
      <c r="D24" t="e" cm="1">
        <f t="array" aca="1" ref="D24" ca="1">_xll.BDP(C24&amp;" ICPL Curncy","NAME_RT")</f>
        <v>#NAME?</v>
      </c>
      <c r="E24" t="s">
        <v>30</v>
      </c>
      <c r="F24" t="e" cm="1">
        <f t="array" aca="1" ref="F24" ca="1">_xll.BDP(C24&amp;" Comdty","Maturity_RT")</f>
        <v>#NAME?</v>
      </c>
      <c r="G24" t="e" cm="1">
        <f t="array" aca="1" ref="G24" ca="1">_xll.BDP(C24&amp;" Comdty","PX_LAST")</f>
        <v>#NAME?</v>
      </c>
      <c r="J24" t="s">
        <v>774</v>
      </c>
    </row>
    <row r="25" spans="2:10" x14ac:dyDescent="0.25">
      <c r="B25" t="s">
        <v>8</v>
      </c>
      <c r="C25" t="s">
        <v>116</v>
      </c>
      <c r="D25" t="e" cm="1">
        <f t="array" aca="1" ref="D25" ca="1">_xll.BDP(C25&amp;" ICPL Curncy","NAME_RT")</f>
        <v>#NAME?</v>
      </c>
      <c r="E25" t="s">
        <v>30</v>
      </c>
      <c r="F25" t="e" cm="1">
        <f t="array" aca="1" ref="F25" ca="1">_xll.BDP(C25&amp;" Comdty","Maturity_RT")</f>
        <v>#NAME?</v>
      </c>
      <c r="G25" t="e" cm="1">
        <f t="array" aca="1" ref="G25" ca="1">_xll.BDP(C25&amp;" Comdty","PX_LAST")</f>
        <v>#NAME?</v>
      </c>
      <c r="J25" t="s">
        <v>775</v>
      </c>
    </row>
    <row r="26" spans="2:10" x14ac:dyDescent="0.25">
      <c r="B26" t="s">
        <v>8</v>
      </c>
      <c r="C26" t="s">
        <v>117</v>
      </c>
      <c r="D26" t="e" cm="1">
        <f t="array" aca="1" ref="D26" ca="1">_xll.BDP(C26&amp;" ICPL Curncy","NAME_RT")</f>
        <v>#NAME?</v>
      </c>
      <c r="E26" t="s">
        <v>30</v>
      </c>
      <c r="F26" t="e" cm="1">
        <f t="array" aca="1" ref="F26" ca="1">_xll.BDP(C26&amp;" Comdty","Maturity_RT")</f>
        <v>#NAME?</v>
      </c>
      <c r="G26" t="e" cm="1">
        <f t="array" aca="1" ref="G26" ca="1">_xll.BDP(C26&amp;" Comdty","PX_LAST")</f>
        <v>#NAME?</v>
      </c>
      <c r="J26" t="s">
        <v>776</v>
      </c>
    </row>
    <row r="27" spans="2:10" x14ac:dyDescent="0.25">
      <c r="B27" t="s">
        <v>8</v>
      </c>
      <c r="C27" t="s">
        <v>118</v>
      </c>
      <c r="D27" t="e" cm="1">
        <f t="array" aca="1" ref="D27" ca="1">_xll.BDP(C27&amp;" ICPL Curncy","NAME_RT")</f>
        <v>#NAME?</v>
      </c>
      <c r="E27" t="s">
        <v>30</v>
      </c>
      <c r="F27" t="e" cm="1">
        <f t="array" aca="1" ref="F27" ca="1">_xll.BDP(C27&amp;" Comdty","Maturity_RT")</f>
        <v>#NAME?</v>
      </c>
      <c r="G27" t="e" cm="1">
        <f t="array" aca="1" ref="G27" ca="1">_xll.BDP(C27&amp;" Comdty","PX_LAST")</f>
        <v>#NAME?</v>
      </c>
      <c r="J27" t="s">
        <v>777</v>
      </c>
    </row>
    <row r="28" spans="2:10" x14ac:dyDescent="0.25">
      <c r="B28" t="s">
        <v>8</v>
      </c>
      <c r="C28" t="s">
        <v>120</v>
      </c>
      <c r="D28" t="e" cm="1">
        <f t="array" aca="1" ref="D28" ca="1">_xll.BDP(C28&amp;" ICPL Curncy","NAME_RT")</f>
        <v>#NAME?</v>
      </c>
      <c r="E28" t="s">
        <v>30</v>
      </c>
      <c r="F28" t="e" cm="1">
        <f t="array" aca="1" ref="F28" ca="1">_xll.BDP(C28&amp;" Comdty","Maturity_RT")</f>
        <v>#NAME?</v>
      </c>
      <c r="G28" t="e" cm="1">
        <f t="array" aca="1" ref="G28" ca="1">_xll.BDP(C28&amp;" Comdty","PX_LAST")</f>
        <v>#NAME?</v>
      </c>
      <c r="J28" t="s">
        <v>778</v>
      </c>
    </row>
    <row r="29" spans="2:10" x14ac:dyDescent="0.25">
      <c r="B29" t="s">
        <v>8</v>
      </c>
      <c r="C29" t="s">
        <v>123</v>
      </c>
      <c r="D29" t="e" cm="1">
        <f t="array" aca="1" ref="D29" ca="1">_xll.BDP(C29&amp;" ICPL Curncy","NAME_RT")</f>
        <v>#NAME?</v>
      </c>
      <c r="E29" t="s">
        <v>30</v>
      </c>
      <c r="F29" t="e" cm="1">
        <f t="array" aca="1" ref="F29" ca="1">_xll.BDP(C29&amp;" Comdty","Maturity_RT")</f>
        <v>#NAME?</v>
      </c>
      <c r="G29" t="e" cm="1">
        <f t="array" aca="1" ref="G29" ca="1">_xll.BDP(C29&amp;" Comdty","PX_LAST")</f>
        <v>#NAME?</v>
      </c>
      <c r="J29" t="s">
        <v>779</v>
      </c>
    </row>
    <row r="30" spans="2:10" x14ac:dyDescent="0.25">
      <c r="B30" t="s">
        <v>8</v>
      </c>
      <c r="C30" t="s">
        <v>125</v>
      </c>
      <c r="D30" t="e" cm="1">
        <f t="array" aca="1" ref="D30" ca="1">_xll.BDP(C30&amp;" ICPL Curncy","NAME_RT")</f>
        <v>#NAME?</v>
      </c>
      <c r="E30" t="s">
        <v>30</v>
      </c>
      <c r="F30" t="e" cm="1">
        <f t="array" aca="1" ref="F30" ca="1">_xll.BDP(C30&amp;" Comdty","Maturity_RT")</f>
        <v>#NAME?</v>
      </c>
      <c r="G30" t="e" cm="1">
        <f t="array" aca="1" ref="G30" ca="1">_xll.BDP(C30&amp;" Comdty","PX_LAST")</f>
        <v>#NAME?</v>
      </c>
      <c r="J30" t="s">
        <v>780</v>
      </c>
    </row>
    <row r="31" spans="2:10" x14ac:dyDescent="0.25">
      <c r="B31" t="s">
        <v>8</v>
      </c>
      <c r="C31" t="s">
        <v>126</v>
      </c>
      <c r="D31" t="e" cm="1">
        <f t="array" aca="1" ref="D31" ca="1">_xll.BDP(C31&amp;" ICPL Curncy","NAME_RT")</f>
        <v>#NAME?</v>
      </c>
      <c r="E31" t="s">
        <v>30</v>
      </c>
      <c r="F31" t="e" cm="1">
        <f t="array" aca="1" ref="F31" ca="1">_xll.BDP(C31&amp;" Comdty","Maturity_RT")</f>
        <v>#NAME?</v>
      </c>
      <c r="G31" t="e" cm="1">
        <f t="array" aca="1" ref="G31" ca="1">_xll.BDP(C31&amp;" Comdty","PX_LAST")</f>
        <v>#NAME?</v>
      </c>
      <c r="J31" t="s">
        <v>781</v>
      </c>
    </row>
    <row r="32" spans="2:10" x14ac:dyDescent="0.25">
      <c r="B32" t="s">
        <v>8</v>
      </c>
      <c r="C32" t="s">
        <v>128</v>
      </c>
      <c r="D32" t="e" cm="1">
        <f t="array" aca="1" ref="D32" ca="1">_xll.BDP(C32&amp;" ICPL Curncy","NAME_RT")</f>
        <v>#NAME?</v>
      </c>
      <c r="E32" t="s">
        <v>30</v>
      </c>
      <c r="F32" t="e" cm="1">
        <f t="array" aca="1" ref="F32" ca="1">_xll.BDP(C32&amp;" Comdty","Maturity_RT")</f>
        <v>#NAME?</v>
      </c>
      <c r="G32" t="e" cm="1">
        <f t="array" aca="1" ref="G32" ca="1">_xll.BDP(C32&amp;" Comdty","PX_LAST")</f>
        <v>#NAME?</v>
      </c>
      <c r="J32" t="s">
        <v>782</v>
      </c>
    </row>
    <row r="33" spans="2:10" x14ac:dyDescent="0.25">
      <c r="J33" t="s">
        <v>770</v>
      </c>
    </row>
    <row r="34" spans="2:10" x14ac:dyDescent="0.25">
      <c r="B34" t="s">
        <v>11</v>
      </c>
      <c r="C34" t="s">
        <v>81</v>
      </c>
      <c r="D34" t="e" cm="1">
        <f t="array" aca="1" ref="D34" ca="1">_xll.BDP(C34&amp;" Curncy","NAME")</f>
        <v>#NAME?</v>
      </c>
      <c r="E34" t="s">
        <v>30</v>
      </c>
      <c r="F34" t="s">
        <v>11</v>
      </c>
      <c r="G34" t="e" cm="1">
        <f t="array" aca="1" ref="G34" ca="1">_xll.BDP(C34&amp;" Curncy","PX_LAST")</f>
        <v>#NAME?</v>
      </c>
      <c r="J34" t="s">
        <v>783</v>
      </c>
    </row>
    <row r="35" spans="2:10" x14ac:dyDescent="0.25">
      <c r="B35" t="s">
        <v>11</v>
      </c>
      <c r="C35" t="s">
        <v>755</v>
      </c>
      <c r="D35" t="e" cm="1">
        <f t="array" aca="1" ref="D35" ca="1">_xll.BDP(C35&amp;" ICPL Curncy","NAME_RT")</f>
        <v>#NAME?</v>
      </c>
      <c r="E35" t="s">
        <v>11</v>
      </c>
      <c r="F35" t="s">
        <v>11</v>
      </c>
      <c r="G35" t="e" cm="1">
        <f t="array" aca="1" ref="G35" ca="1">_xll.BDP(C35&amp;" Curncy","PX_LAST")</f>
        <v>#NAME?</v>
      </c>
      <c r="J35" t="s">
        <v>784</v>
      </c>
    </row>
    <row r="36" spans="2:10" x14ac:dyDescent="0.25">
      <c r="B36" t="s">
        <v>11</v>
      </c>
      <c r="C36" t="s">
        <v>85</v>
      </c>
      <c r="D36" t="e" cm="1">
        <f t="array" aca="1" ref="D36" ca="1">_xll.BDP(C36&amp;" ICPL Curncy","NAME_RT")</f>
        <v>#NAME?</v>
      </c>
      <c r="E36" t="s">
        <v>30</v>
      </c>
      <c r="F36" t="e" cm="1">
        <f t="array" aca="1" ref="F36" ca="1">_xll.BDP(C36&amp;" Comdty","Maturity_RT")</f>
        <v>#NAME?</v>
      </c>
      <c r="G36" t="e" cm="1">
        <f t="array" aca="1" ref="G36" ca="1">_xll.BDP(C36&amp;" Comdty","PX_LAST")</f>
        <v>#NAME?</v>
      </c>
      <c r="J36" t="s">
        <v>785</v>
      </c>
    </row>
    <row r="37" spans="2:10" x14ac:dyDescent="0.25">
      <c r="B37" t="s">
        <v>11</v>
      </c>
      <c r="C37" t="s">
        <v>60</v>
      </c>
      <c r="D37" t="e" cm="1">
        <f t="array" aca="1" ref="D37" ca="1">_xll.BDP(C37&amp;" ICPL Curncy","NAME_RT")</f>
        <v>#NAME?</v>
      </c>
      <c r="E37" t="s">
        <v>30</v>
      </c>
      <c r="F37" t="e" cm="1">
        <f t="array" aca="1" ref="F37" ca="1">_xll.BDP(C37&amp;" Comdty","Maturity_RT")</f>
        <v>#NAME?</v>
      </c>
      <c r="G37" t="e" cm="1">
        <f t="array" aca="1" ref="G37" ca="1">_xll.BDP(C37&amp;" Comdty","PX_LAST")</f>
        <v>#NAME?</v>
      </c>
      <c r="J37" t="s">
        <v>786</v>
      </c>
    </row>
    <row r="38" spans="2:10" x14ac:dyDescent="0.25">
      <c r="B38" t="s">
        <v>11</v>
      </c>
      <c r="C38" t="s">
        <v>61</v>
      </c>
      <c r="D38" t="e" cm="1">
        <f t="array" aca="1" ref="D38" ca="1">_xll.BDP(C38&amp;" ICPL Curncy","NAME_RT")</f>
        <v>#NAME?</v>
      </c>
      <c r="E38" t="s">
        <v>30</v>
      </c>
      <c r="F38" t="e" cm="1">
        <f t="array" aca="1" ref="F38" ca="1">_xll.BDP(C38&amp;" Comdty","Maturity_RT")</f>
        <v>#NAME?</v>
      </c>
      <c r="G38" t="e" cm="1">
        <f t="array" aca="1" ref="G38" ca="1">_xll.BDP(C38&amp;" Comdty","PX_LAST")</f>
        <v>#NAME?</v>
      </c>
      <c r="J38" t="s">
        <v>787</v>
      </c>
    </row>
    <row r="39" spans="2:10" x14ac:dyDescent="0.25">
      <c r="B39" t="s">
        <v>11</v>
      </c>
      <c r="C39" t="s">
        <v>62</v>
      </c>
      <c r="D39" t="e" cm="1">
        <f t="array" aca="1" ref="D39" ca="1">_xll.BDP(C39&amp;" ICPL Curncy","NAME_RT")</f>
        <v>#NAME?</v>
      </c>
      <c r="E39" t="s">
        <v>30</v>
      </c>
      <c r="F39" t="e" cm="1">
        <f t="array" aca="1" ref="F39" ca="1">_xll.BDP(C39&amp;" Comdty","Maturity_RT")</f>
        <v>#NAME?</v>
      </c>
      <c r="G39" t="e" cm="1">
        <f t="array" aca="1" ref="G39" ca="1">_xll.BDP(C39&amp;" Comdty","PX_LAST")</f>
        <v>#NAME?</v>
      </c>
      <c r="J39" t="s">
        <v>788</v>
      </c>
    </row>
    <row r="40" spans="2:10" x14ac:dyDescent="0.25">
      <c r="B40" t="s">
        <v>11</v>
      </c>
      <c r="C40" t="s">
        <v>64</v>
      </c>
      <c r="D40" t="e" cm="1">
        <f t="array" aca="1" ref="D40" ca="1">_xll.BDP(C40&amp;" ICPL Curncy","NAME_RT")</f>
        <v>#NAME?</v>
      </c>
      <c r="E40" t="s">
        <v>30</v>
      </c>
      <c r="F40" t="e" cm="1">
        <f t="array" aca="1" ref="F40" ca="1">_xll.BDP(C40&amp;" Comdty","Maturity_RT")</f>
        <v>#NAME?</v>
      </c>
      <c r="G40" t="e" cm="1">
        <f t="array" aca="1" ref="G40" ca="1">_xll.BDP(C40&amp;" Comdty","PX_LAST")</f>
        <v>#NAME?</v>
      </c>
      <c r="J40" t="s">
        <v>789</v>
      </c>
    </row>
    <row r="41" spans="2:10" x14ac:dyDescent="0.25">
      <c r="B41" t="s">
        <v>11</v>
      </c>
      <c r="C41" t="s">
        <v>67</v>
      </c>
      <c r="D41" t="e" cm="1">
        <f t="array" aca="1" ref="D41" ca="1">_xll.BDP(C41&amp;" ICPL Curncy","NAME_RT")</f>
        <v>#NAME?</v>
      </c>
      <c r="E41" t="s">
        <v>30</v>
      </c>
      <c r="F41" t="e" cm="1">
        <f t="array" aca="1" ref="F41" ca="1">_xll.BDP(C41&amp;" Comdty","Maturity_RT")</f>
        <v>#NAME?</v>
      </c>
      <c r="G41" t="e" cm="1">
        <f t="array" aca="1" ref="G41" ca="1">_xll.BDP(C41&amp;" Comdty","PX_LAST")</f>
        <v>#NAME?</v>
      </c>
      <c r="J41" t="s">
        <v>790</v>
      </c>
    </row>
    <row r="42" spans="2:10" x14ac:dyDescent="0.25">
      <c r="B42" t="s">
        <v>11</v>
      </c>
      <c r="C42" t="s">
        <v>70</v>
      </c>
      <c r="D42" t="e" cm="1">
        <f t="array" aca="1" ref="D42" ca="1">_xll.BDP(C42&amp;" ICPL Curncy","NAME_RT")</f>
        <v>#NAME?</v>
      </c>
      <c r="E42" t="s">
        <v>30</v>
      </c>
      <c r="F42" t="e" cm="1">
        <f t="array" aca="1" ref="F42" ca="1">_xll.BDP(C42&amp;" Comdty","Maturity_RT")</f>
        <v>#NAME?</v>
      </c>
      <c r="G42" t="e" cm="1">
        <f t="array" aca="1" ref="G42" ca="1">_xll.BDP(C42&amp;" Comdty","PX_LAST")</f>
        <v>#NAME?</v>
      </c>
      <c r="J42" t="s">
        <v>791</v>
      </c>
    </row>
    <row r="43" spans="2:10" x14ac:dyDescent="0.25">
      <c r="B43" t="s">
        <v>11</v>
      </c>
      <c r="C43" t="s">
        <v>71</v>
      </c>
      <c r="D43" t="e" cm="1">
        <f t="array" aca="1" ref="D43" ca="1">_xll.BDP(C43&amp;" ICPL Curncy","NAME_RT")</f>
        <v>#NAME?</v>
      </c>
      <c r="E43" t="s">
        <v>30</v>
      </c>
      <c r="F43" t="e" cm="1">
        <f t="array" aca="1" ref="F43" ca="1">_xll.BDP(C43&amp;" Comdty","Maturity_RT")</f>
        <v>#NAME?</v>
      </c>
      <c r="G43" t="e" cm="1">
        <f t="array" aca="1" ref="G43" ca="1">_xll.BDP(C43&amp;" Comdty","PX_LAST")</f>
        <v>#NAME?</v>
      </c>
      <c r="J43" t="s">
        <v>792</v>
      </c>
    </row>
    <row r="44" spans="2:10" x14ac:dyDescent="0.25">
      <c r="B44" t="s">
        <v>11</v>
      </c>
      <c r="C44" t="s">
        <v>73</v>
      </c>
      <c r="D44" t="e" cm="1">
        <f t="array" aca="1" ref="D44" ca="1">_xll.BDP(C44&amp;" ICPL Curncy","NAME_RT")</f>
        <v>#NAME?</v>
      </c>
      <c r="E44" t="s">
        <v>30</v>
      </c>
      <c r="F44" t="e" cm="1">
        <f t="array" aca="1" ref="F44" ca="1">_xll.BDP(C44&amp;" Comdty","Maturity_RT")</f>
        <v>#NAME?</v>
      </c>
      <c r="G44" t="e" cm="1">
        <f t="array" aca="1" ref="G44" ca="1">_xll.BDP(C44&amp;" Comdty","PX_LAST")</f>
        <v>#NAME?</v>
      </c>
      <c r="J44" t="s">
        <v>793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C547-3013-4F30-8BDD-E6574CB2FE83}">
  <dimension ref="A1:N68"/>
  <sheetViews>
    <sheetView tabSelected="1" workbookViewId="0">
      <selection activeCell="A12" sqref="A12"/>
    </sheetView>
  </sheetViews>
  <sheetFormatPr defaultRowHeight="15" x14ac:dyDescent="0.25"/>
  <cols>
    <col min="6" max="6" width="10.7109375" bestFit="1" customWidth="1"/>
    <col min="9" max="9" width="111.28515625" bestFit="1" customWidth="1"/>
  </cols>
  <sheetData>
    <row r="1" spans="1:14" x14ac:dyDescent="0.25">
      <c r="A1" t="s">
        <v>282</v>
      </c>
      <c r="B1">
        <v>44154.616243750002</v>
      </c>
      <c r="M1" t="str" cm="1">
        <f t="array" ref="M1">_xll.OracCurveInputs()</f>
        <v>Curve.0</v>
      </c>
    </row>
    <row r="2" spans="1:14" x14ac:dyDescent="0.25">
      <c r="M2" t="str">
        <f t="array" ref="M2:N68">_xll.OracCurveInputsData(M1)</f>
        <v>1Y</v>
      </c>
      <c r="N2">
        <v>0.70508036130361829</v>
      </c>
    </row>
    <row r="3" spans="1:14" x14ac:dyDescent="0.25">
      <c r="A3" t="s">
        <v>283</v>
      </c>
      <c r="M3" t="str">
        <v>3Y</v>
      </c>
      <c r="N3">
        <v>0.70508036130361829</v>
      </c>
    </row>
    <row r="4" spans="1:14" x14ac:dyDescent="0.25">
      <c r="M4" t="str">
        <v>2Y</v>
      </c>
      <c r="N4">
        <v>0.70508036130361829</v>
      </c>
    </row>
    <row r="5" spans="1:14" x14ac:dyDescent="0.25">
      <c r="A5" t="s">
        <v>90</v>
      </c>
      <c r="B5" t="s">
        <v>31</v>
      </c>
      <c r="C5" t="s">
        <v>2</v>
      </c>
      <c r="E5" t="s">
        <v>26</v>
      </c>
      <c r="F5" t="s">
        <v>27</v>
      </c>
      <c r="G5" t="s">
        <v>28</v>
      </c>
      <c r="M5" t="str">
        <v>4Y</v>
      </c>
      <c r="N5">
        <v>0.70508036130361829</v>
      </c>
    </row>
    <row r="6" spans="1:14" x14ac:dyDescent="0.25">
      <c r="A6" t="s">
        <v>91</v>
      </c>
      <c r="B6" t="s">
        <v>32</v>
      </c>
      <c r="C6" t="s">
        <v>29</v>
      </c>
      <c r="D6" t="s">
        <v>152</v>
      </c>
      <c r="E6" t="s">
        <v>30</v>
      </c>
      <c r="F6" t="s">
        <v>1</v>
      </c>
      <c r="G6">
        <v>-0.47499999999999998</v>
      </c>
      <c r="I6" t="s">
        <v>756</v>
      </c>
      <c r="J6">
        <f>MATCH(C6,M:M,0)</f>
        <v>55</v>
      </c>
      <c r="K6" cm="1">
        <f t="array" ref="K6">INDEX(N:N,J6)</f>
        <v>-0.47499999999999998</v>
      </c>
      <c r="M6" t="str">
        <v>5Y</v>
      </c>
      <c r="N6">
        <v>0.70508036130361829</v>
      </c>
    </row>
    <row r="7" spans="1:14" x14ac:dyDescent="0.25">
      <c r="B7" t="s">
        <v>32</v>
      </c>
      <c r="C7" t="s">
        <v>33</v>
      </c>
      <c r="D7" t="s">
        <v>153</v>
      </c>
      <c r="E7" t="s">
        <v>30</v>
      </c>
      <c r="F7" t="s">
        <v>7</v>
      </c>
      <c r="G7">
        <v>-0.48099999999999998</v>
      </c>
      <c r="I7" t="s">
        <v>757</v>
      </c>
      <c r="J7">
        <f>MATCH(C7,M:M,0)</f>
        <v>48</v>
      </c>
      <c r="K7" cm="1">
        <f t="array" ref="K7">INDEX(N:N,J7)</f>
        <v>-0.48099999999999998</v>
      </c>
      <c r="M7" t="str">
        <v>6Y</v>
      </c>
      <c r="N7">
        <v>0.70508036130361829</v>
      </c>
    </row>
    <row r="8" spans="1:14" x14ac:dyDescent="0.25">
      <c r="B8" t="s">
        <v>32</v>
      </c>
      <c r="C8" t="s">
        <v>34</v>
      </c>
      <c r="D8" t="s">
        <v>154</v>
      </c>
      <c r="E8" t="s">
        <v>30</v>
      </c>
      <c r="F8" t="s">
        <v>8</v>
      </c>
      <c r="G8">
        <v>-0.48299999999999998</v>
      </c>
      <c r="I8" t="s">
        <v>758</v>
      </c>
      <c r="J8">
        <f>MATCH(C8,M:M,0)</f>
        <v>57</v>
      </c>
      <c r="K8" cm="1">
        <f t="array" ref="K8">INDEX(N:N,J8)</f>
        <v>-0.48399999999999999</v>
      </c>
      <c r="M8" t="str">
        <v>7Y</v>
      </c>
      <c r="N8">
        <v>0.70508036130361829</v>
      </c>
    </row>
    <row r="9" spans="1:14" x14ac:dyDescent="0.25">
      <c r="B9" t="s">
        <v>32</v>
      </c>
      <c r="C9" t="s">
        <v>40</v>
      </c>
      <c r="D9" t="s">
        <v>157</v>
      </c>
      <c r="E9" t="s">
        <v>30</v>
      </c>
      <c r="F9" t="s">
        <v>11</v>
      </c>
      <c r="G9">
        <v>-0.49</v>
      </c>
      <c r="I9" t="s">
        <v>759</v>
      </c>
      <c r="J9">
        <f>MATCH(C9,M:M,0)</f>
        <v>51</v>
      </c>
      <c r="K9" cm="1">
        <f t="array" ref="K9">INDEX(N:N,J9)</f>
        <v>-0.49199999999999999</v>
      </c>
      <c r="M9" t="str">
        <v>8Y</v>
      </c>
      <c r="N9">
        <v>0.70508036130361829</v>
      </c>
    </row>
    <row r="10" spans="1:14" x14ac:dyDescent="0.25">
      <c r="B10" t="s">
        <v>32</v>
      </c>
      <c r="C10" t="s">
        <v>41</v>
      </c>
      <c r="D10" t="s">
        <v>158</v>
      </c>
      <c r="E10" t="s">
        <v>30</v>
      </c>
      <c r="F10" t="s">
        <v>44</v>
      </c>
      <c r="G10">
        <v>-0.505</v>
      </c>
      <c r="I10" t="s">
        <v>760</v>
      </c>
      <c r="J10">
        <f>MATCH(C10,M:M,0)</f>
        <v>30</v>
      </c>
      <c r="K10" cm="1">
        <f t="array" ref="K10">INDEX(N:N,J10)</f>
        <v>-0.50700000000000001</v>
      </c>
      <c r="M10" t="str">
        <v>9Y</v>
      </c>
      <c r="N10">
        <v>0.70508036130361829</v>
      </c>
    </row>
    <row r="11" spans="1:14" x14ac:dyDescent="0.25">
      <c r="B11" t="s">
        <v>32</v>
      </c>
      <c r="C11" t="s">
        <v>42</v>
      </c>
      <c r="D11" t="s">
        <v>160</v>
      </c>
      <c r="E11" t="s">
        <v>30</v>
      </c>
      <c r="F11" t="s">
        <v>46</v>
      </c>
      <c r="G11">
        <v>-0.52400000000000002</v>
      </c>
      <c r="I11" t="s">
        <v>761</v>
      </c>
      <c r="J11">
        <f>MATCH(C11,M:M,0)</f>
        <v>37</v>
      </c>
      <c r="K11" cm="1">
        <f t="array" ref="K11">INDEX(N:N,J11)</f>
        <v>-0.52600000000000002</v>
      </c>
      <c r="M11" t="str">
        <v>10Y</v>
      </c>
      <c r="N11">
        <v>0.70508036130361829</v>
      </c>
    </row>
    <row r="12" spans="1:14" x14ac:dyDescent="0.25">
      <c r="B12" t="s">
        <v>32</v>
      </c>
      <c r="C12" t="s">
        <v>746</v>
      </c>
      <c r="D12" t="s">
        <v>794</v>
      </c>
      <c r="E12" t="s">
        <v>30</v>
      </c>
      <c r="F12" t="s">
        <v>44</v>
      </c>
      <c r="G12">
        <v>-0.52700000000000002</v>
      </c>
      <c r="I12" t="s">
        <v>762</v>
      </c>
      <c r="J12">
        <f>MATCH(C12,M:M,0)</f>
        <v>34</v>
      </c>
      <c r="K12" cm="1">
        <f t="array" ref="K12">INDEX(N:N,J12)</f>
        <v>-0.52800000000000002</v>
      </c>
      <c r="M12" t="str">
        <v>11Y</v>
      </c>
      <c r="N12">
        <v>0.70508036130361829</v>
      </c>
    </row>
    <row r="13" spans="1:14" x14ac:dyDescent="0.25">
      <c r="B13" t="s">
        <v>32</v>
      </c>
      <c r="C13" t="s">
        <v>747</v>
      </c>
      <c r="D13" t="s">
        <v>795</v>
      </c>
      <c r="E13" t="s">
        <v>30</v>
      </c>
      <c r="F13" t="s">
        <v>46</v>
      </c>
      <c r="G13">
        <v>-0.51300000000000001</v>
      </c>
      <c r="I13" t="s">
        <v>763</v>
      </c>
      <c r="J13">
        <f>MATCH(C13,M:M,0)</f>
        <v>46</v>
      </c>
      <c r="K13" cm="1">
        <f t="array" ref="K13">INDEX(N:N,J13)</f>
        <v>-0.51500000000000001</v>
      </c>
      <c r="M13" t="str">
        <v>12Y</v>
      </c>
      <c r="N13">
        <v>0.70508036130361829</v>
      </c>
    </row>
    <row r="14" spans="1:14" x14ac:dyDescent="0.25">
      <c r="B14" t="s">
        <v>32</v>
      </c>
      <c r="C14" t="s">
        <v>748</v>
      </c>
      <c r="D14" t="s">
        <v>796</v>
      </c>
      <c r="E14" t="s">
        <v>30</v>
      </c>
      <c r="F14" t="s">
        <v>44</v>
      </c>
      <c r="G14">
        <v>-0.49099999999999999</v>
      </c>
      <c r="I14" t="s">
        <v>764</v>
      </c>
      <c r="J14">
        <f>MATCH(C14,M:M,0)</f>
        <v>49</v>
      </c>
      <c r="K14" cm="1">
        <f t="array" ref="K14">INDEX(N:N,J14)</f>
        <v>-0.49299999999999999</v>
      </c>
      <c r="M14" t="str">
        <v>13Y</v>
      </c>
      <c r="N14">
        <v>0.70508036130361829</v>
      </c>
    </row>
    <row r="15" spans="1:14" x14ac:dyDescent="0.25">
      <c r="B15" t="s">
        <v>32</v>
      </c>
      <c r="C15" t="s">
        <v>749</v>
      </c>
      <c r="D15" t="s">
        <v>797</v>
      </c>
      <c r="E15" t="s">
        <v>30</v>
      </c>
      <c r="F15" t="s">
        <v>44</v>
      </c>
      <c r="G15">
        <v>-0.42199999999999999</v>
      </c>
      <c r="I15" t="s">
        <v>765</v>
      </c>
      <c r="J15">
        <f>MATCH(C15,M:M,0)</f>
        <v>26</v>
      </c>
      <c r="K15" cm="1">
        <f t="array" ref="K15">INDEX(N:N,J15)</f>
        <v>-0.42299999999999999</v>
      </c>
      <c r="M15" t="str">
        <v>14Y</v>
      </c>
      <c r="N15">
        <v>0.70508036130361829</v>
      </c>
    </row>
    <row r="16" spans="1:14" x14ac:dyDescent="0.25">
      <c r="B16" t="s">
        <v>32</v>
      </c>
      <c r="C16" t="s">
        <v>750</v>
      </c>
      <c r="D16" t="s">
        <v>798</v>
      </c>
      <c r="E16" t="s">
        <v>30</v>
      </c>
      <c r="F16" t="s">
        <v>46</v>
      </c>
      <c r="G16">
        <v>-0.28999999999999998</v>
      </c>
      <c r="I16" t="s">
        <v>766</v>
      </c>
      <c r="J16">
        <f>MATCH(C16,M:M,0)</f>
        <v>54</v>
      </c>
      <c r="K16" cm="1">
        <f t="array" ref="K16">INDEX(N:N,J16)</f>
        <v>-0.28899999999999998</v>
      </c>
      <c r="M16" t="str">
        <v>15Y</v>
      </c>
      <c r="N16">
        <v>0.70508036130361829</v>
      </c>
    </row>
    <row r="17" spans="2:14" x14ac:dyDescent="0.25">
      <c r="B17" t="s">
        <v>32</v>
      </c>
      <c r="C17" t="s">
        <v>751</v>
      </c>
      <c r="D17" t="s">
        <v>799</v>
      </c>
      <c r="E17" t="s">
        <v>30</v>
      </c>
      <c r="F17" t="s">
        <v>44</v>
      </c>
      <c r="G17">
        <v>-9.4E-2</v>
      </c>
      <c r="I17" t="s">
        <v>767</v>
      </c>
      <c r="J17">
        <f>MATCH(C17,M:M,0)</f>
        <v>28</v>
      </c>
      <c r="K17" cm="1">
        <f t="array" ref="K17">INDEX(N:N,J17)</f>
        <v>-9.1999999999999998E-2</v>
      </c>
      <c r="M17" t="str">
        <v>16Y</v>
      </c>
      <c r="N17">
        <v>0.70508036130361829</v>
      </c>
    </row>
    <row r="18" spans="2:14" x14ac:dyDescent="0.25">
      <c r="B18" t="s">
        <v>32</v>
      </c>
      <c r="C18" t="s">
        <v>752</v>
      </c>
      <c r="D18" t="s">
        <v>800</v>
      </c>
      <c r="E18" t="s">
        <v>30</v>
      </c>
      <c r="F18" t="s">
        <v>46</v>
      </c>
      <c r="G18">
        <v>-8.9999999999999993E-3</v>
      </c>
      <c r="I18" t="s">
        <v>768</v>
      </c>
      <c r="J18">
        <f>MATCH(C18,M:M,0)</f>
        <v>33</v>
      </c>
      <c r="K18" cm="1">
        <f t="array" ref="K18">INDEX(N:N,J18)</f>
        <v>-5.0000000000000001E-3</v>
      </c>
      <c r="M18" t="str">
        <v>17Y</v>
      </c>
      <c r="N18">
        <v>0.70508036130361829</v>
      </c>
    </row>
    <row r="19" spans="2:14" x14ac:dyDescent="0.25">
      <c r="B19" t="s">
        <v>32</v>
      </c>
      <c r="C19" t="s">
        <v>753</v>
      </c>
      <c r="D19" t="s">
        <v>801</v>
      </c>
      <c r="E19" t="s">
        <v>30</v>
      </c>
      <c r="F19" t="s">
        <v>44</v>
      </c>
      <c r="G19">
        <v>-2.4E-2</v>
      </c>
      <c r="I19" t="s">
        <v>769</v>
      </c>
      <c r="J19">
        <f>MATCH(C19,M:M,0)</f>
        <v>27</v>
      </c>
      <c r="K19" cm="1">
        <f t="array" ref="K19">INDEX(N:N,J19)</f>
        <v>-1.9E-2</v>
      </c>
      <c r="M19" t="str">
        <v>18Y</v>
      </c>
      <c r="N19">
        <v>0.70508036130361829</v>
      </c>
    </row>
    <row r="20" spans="2:14" x14ac:dyDescent="0.25">
      <c r="I20" t="s">
        <v>770</v>
      </c>
      <c r="M20" t="str">
        <v>19Y</v>
      </c>
      <c r="N20">
        <v>0.70508036130361829</v>
      </c>
    </row>
    <row r="21" spans="2:14" x14ac:dyDescent="0.25">
      <c r="B21" t="s">
        <v>8</v>
      </c>
      <c r="C21" t="s">
        <v>80</v>
      </c>
      <c r="D21" t="s">
        <v>224</v>
      </c>
      <c r="E21" t="s">
        <v>30</v>
      </c>
      <c r="F21" t="s">
        <v>8</v>
      </c>
      <c r="G21">
        <v>-0.52700000000000002</v>
      </c>
      <c r="I21" t="s">
        <v>771</v>
      </c>
      <c r="J21">
        <f>MATCH(C21,M:M,0)</f>
        <v>32</v>
      </c>
      <c r="K21" cm="1">
        <f t="array" ref="K21">INDEX(N:N,J21)</f>
        <v>-0.52700000000000002</v>
      </c>
      <c r="M21" t="str">
        <v>20Y</v>
      </c>
      <c r="N21">
        <v>0.70508036130361829</v>
      </c>
    </row>
    <row r="22" spans="2:14" x14ac:dyDescent="0.25">
      <c r="B22" t="s">
        <v>8</v>
      </c>
      <c r="C22" t="s">
        <v>754</v>
      </c>
      <c r="D22" t="s">
        <v>802</v>
      </c>
      <c r="E22" t="s">
        <v>8</v>
      </c>
      <c r="F22" t="s">
        <v>8</v>
      </c>
      <c r="G22">
        <v>-0.52100000000000002</v>
      </c>
      <c r="I22" t="s">
        <v>772</v>
      </c>
      <c r="J22">
        <f>MATCH(C22,M:M,0)</f>
        <v>42</v>
      </c>
      <c r="K22" cm="1">
        <f t="array" ref="K22">INDEX(N:N,J22)</f>
        <v>-0.52969999999999995</v>
      </c>
      <c r="M22" t="str">
        <v>EUSA5</v>
      </c>
      <c r="N22">
        <v>-0.46100000000000002</v>
      </c>
    </row>
    <row r="23" spans="2:14" x14ac:dyDescent="0.25">
      <c r="B23" t="s">
        <v>8</v>
      </c>
      <c r="C23" t="s">
        <v>114</v>
      </c>
      <c r="D23" t="s">
        <v>248</v>
      </c>
      <c r="E23" t="s">
        <v>30</v>
      </c>
      <c r="F23" t="s">
        <v>803</v>
      </c>
      <c r="G23">
        <v>2.4</v>
      </c>
      <c r="I23" t="s">
        <v>773</v>
      </c>
      <c r="J23">
        <f>MATCH(C23,M:M,0)</f>
        <v>53</v>
      </c>
      <c r="K23" cm="1">
        <f t="array" ref="K23">INDEX(N:N,J23)</f>
        <v>2.5499999999999998</v>
      </c>
      <c r="M23" t="str">
        <v>EUSA7</v>
      </c>
      <c r="N23">
        <v>-0.38200000000000001</v>
      </c>
    </row>
    <row r="24" spans="2:14" x14ac:dyDescent="0.25">
      <c r="B24" t="s">
        <v>8</v>
      </c>
      <c r="C24" t="s">
        <v>115</v>
      </c>
      <c r="D24" t="s">
        <v>249</v>
      </c>
      <c r="E24" t="s">
        <v>30</v>
      </c>
      <c r="F24" t="s">
        <v>804</v>
      </c>
      <c r="G24">
        <v>2.7</v>
      </c>
      <c r="I24" t="s">
        <v>774</v>
      </c>
      <c r="J24">
        <f>MATCH(C24,M:M,0)</f>
        <v>36</v>
      </c>
      <c r="K24" cm="1">
        <f t="array" ref="K24">INDEX(N:N,J24)</f>
        <v>2.8</v>
      </c>
      <c r="M24" t="str">
        <v>EUR006M</v>
      </c>
      <c r="N24">
        <v>-0.51300000000000001</v>
      </c>
    </row>
    <row r="25" spans="2:14" x14ac:dyDescent="0.25">
      <c r="B25" t="s">
        <v>8</v>
      </c>
      <c r="C25" t="s">
        <v>116</v>
      </c>
      <c r="D25" t="s">
        <v>250</v>
      </c>
      <c r="E25" t="s">
        <v>30</v>
      </c>
      <c r="F25" t="s">
        <v>805</v>
      </c>
      <c r="G25">
        <v>2.95</v>
      </c>
      <c r="I25" t="s">
        <v>775</v>
      </c>
      <c r="J25">
        <f>MATCH(C25,M:M,0)</f>
        <v>25</v>
      </c>
      <c r="K25" cm="1">
        <f t="array" ref="K25">INDEX(N:N,J25)</f>
        <v>3</v>
      </c>
      <c r="M25" t="str">
        <v>EUBSV3</v>
      </c>
      <c r="N25">
        <v>3</v>
      </c>
    </row>
    <row r="26" spans="2:14" x14ac:dyDescent="0.25">
      <c r="B26" t="s">
        <v>8</v>
      </c>
      <c r="C26" t="s">
        <v>117</v>
      </c>
      <c r="D26" t="s">
        <v>251</v>
      </c>
      <c r="E26" t="s">
        <v>30</v>
      </c>
      <c r="F26" t="s">
        <v>806</v>
      </c>
      <c r="G26">
        <v>3.1</v>
      </c>
      <c r="I26" t="s">
        <v>776</v>
      </c>
      <c r="J26">
        <f>MATCH(C26,M:M,0)</f>
        <v>29</v>
      </c>
      <c r="K26" cm="1">
        <f t="array" ref="K26">INDEX(N:N,J26)</f>
        <v>3.15</v>
      </c>
      <c r="M26" t="str">
        <v>EUSWE7</v>
      </c>
      <c r="N26">
        <v>-0.42299999999999999</v>
      </c>
    </row>
    <row r="27" spans="2:14" x14ac:dyDescent="0.25">
      <c r="B27" t="s">
        <v>8</v>
      </c>
      <c r="C27" t="s">
        <v>118</v>
      </c>
      <c r="D27" t="s">
        <v>252</v>
      </c>
      <c r="E27" t="s">
        <v>30</v>
      </c>
      <c r="F27" t="s">
        <v>807</v>
      </c>
      <c r="G27">
        <v>3.1</v>
      </c>
      <c r="I27" t="s">
        <v>777</v>
      </c>
      <c r="J27">
        <f>MATCH(C27,M:M,0)</f>
        <v>39</v>
      </c>
      <c r="K27" cm="1">
        <f t="array" ref="K27">INDEX(N:N,J27)</f>
        <v>3.15</v>
      </c>
      <c r="M27" t="str">
        <v>EUSWE30</v>
      </c>
      <c r="N27">
        <v>-1.9E-2</v>
      </c>
    </row>
    <row r="28" spans="2:14" x14ac:dyDescent="0.25">
      <c r="B28" t="s">
        <v>8</v>
      </c>
      <c r="C28" t="s">
        <v>120</v>
      </c>
      <c r="D28" t="s">
        <v>254</v>
      </c>
      <c r="E28" t="s">
        <v>30</v>
      </c>
      <c r="F28" t="s">
        <v>808</v>
      </c>
      <c r="G28">
        <v>2.85</v>
      </c>
      <c r="I28" t="s">
        <v>778</v>
      </c>
      <c r="J28">
        <f>MATCH(C28,M:M,0)</f>
        <v>50</v>
      </c>
      <c r="K28" cm="1">
        <f t="array" ref="K28">INDEX(N:N,J28)</f>
        <v>2.9</v>
      </c>
      <c r="M28" t="str">
        <v>EUSWE15</v>
      </c>
      <c r="N28">
        <v>-9.1999999999999998E-2</v>
      </c>
    </row>
    <row r="29" spans="2:14" x14ac:dyDescent="0.25">
      <c r="B29" t="s">
        <v>8</v>
      </c>
      <c r="C29" t="s">
        <v>123</v>
      </c>
      <c r="D29" t="s">
        <v>257</v>
      </c>
      <c r="E29" t="s">
        <v>30</v>
      </c>
      <c r="F29" t="s">
        <v>809</v>
      </c>
      <c r="G29">
        <v>2.2000000000000002</v>
      </c>
      <c r="I29" t="s">
        <v>779</v>
      </c>
      <c r="J29">
        <f>MATCH(C29,M:M,0)</f>
        <v>38</v>
      </c>
      <c r="K29" cm="1">
        <f t="array" ref="K29">INDEX(N:N,J29)</f>
        <v>2.25</v>
      </c>
      <c r="M29" t="str">
        <v>EUBSV4</v>
      </c>
      <c r="N29">
        <v>3.15</v>
      </c>
    </row>
    <row r="30" spans="2:14" x14ac:dyDescent="0.25">
      <c r="B30" t="s">
        <v>8</v>
      </c>
      <c r="C30" t="s">
        <v>125</v>
      </c>
      <c r="D30" t="s">
        <v>259</v>
      </c>
      <c r="E30" t="s">
        <v>30</v>
      </c>
      <c r="F30" t="s">
        <v>810</v>
      </c>
      <c r="G30">
        <v>1.1000000000000001</v>
      </c>
      <c r="I30" t="s">
        <v>780</v>
      </c>
      <c r="J30">
        <f>MATCH(C30,M:M,0)</f>
        <v>35</v>
      </c>
      <c r="K30" cm="1">
        <f t="array" ref="K30">INDEX(N:N,J30)</f>
        <v>1.1499999999999999</v>
      </c>
      <c r="M30" t="str">
        <v>EUSWE1</v>
      </c>
      <c r="N30">
        <v>-0.50700000000000001</v>
      </c>
    </row>
    <row r="31" spans="2:14" x14ac:dyDescent="0.25">
      <c r="B31" t="s">
        <v>8</v>
      </c>
      <c r="C31" t="s">
        <v>126</v>
      </c>
      <c r="D31" t="s">
        <v>260</v>
      </c>
      <c r="E31" t="s">
        <v>30</v>
      </c>
      <c r="F31" t="s">
        <v>811</v>
      </c>
      <c r="G31">
        <v>0.45</v>
      </c>
      <c r="I31" t="s">
        <v>781</v>
      </c>
      <c r="J31">
        <f>MATCH(C31,M:M,0)</f>
        <v>31</v>
      </c>
      <c r="K31" cm="1">
        <f t="array" ref="K31">INDEX(N:N,J31)</f>
        <v>0.5</v>
      </c>
      <c r="M31" t="str">
        <v>EUBSV20</v>
      </c>
      <c r="N31">
        <v>0.5</v>
      </c>
    </row>
    <row r="32" spans="2:14" x14ac:dyDescent="0.25">
      <c r="B32" t="s">
        <v>8</v>
      </c>
      <c r="C32" t="s">
        <v>128</v>
      </c>
      <c r="D32" t="s">
        <v>262</v>
      </c>
      <c r="E32" t="s">
        <v>30</v>
      </c>
      <c r="F32" t="s">
        <v>812</v>
      </c>
      <c r="G32">
        <v>-0.45</v>
      </c>
      <c r="I32" t="s">
        <v>782</v>
      </c>
      <c r="J32">
        <f>MATCH(C32,M:M,0)</f>
        <v>47</v>
      </c>
      <c r="K32" cm="1">
        <f t="array" ref="K32">INDEX(N:N,J32)</f>
        <v>-0.4</v>
      </c>
      <c r="M32" t="str">
        <v>EUR003M</v>
      </c>
      <c r="N32">
        <v>-0.52700000000000002</v>
      </c>
    </row>
    <row r="33" spans="2:14" x14ac:dyDescent="0.25">
      <c r="I33" t="s">
        <v>770</v>
      </c>
      <c r="M33" t="str">
        <v>EUSWE20</v>
      </c>
      <c r="N33">
        <v>-5.0000000000000001E-3</v>
      </c>
    </row>
    <row r="34" spans="2:14" x14ac:dyDescent="0.25">
      <c r="B34" t="s">
        <v>11</v>
      </c>
      <c r="C34" t="s">
        <v>81</v>
      </c>
      <c r="D34" t="s">
        <v>225</v>
      </c>
      <c r="E34" t="s">
        <v>30</v>
      </c>
      <c r="F34" t="s">
        <v>11</v>
      </c>
      <c r="G34">
        <v>-0.51300000000000001</v>
      </c>
      <c r="I34" t="s">
        <v>783</v>
      </c>
      <c r="J34">
        <f>MATCH(C34,M:M,0)</f>
        <v>24</v>
      </c>
      <c r="K34" cm="1">
        <f t="array" ref="K34">INDEX(N:N,J34)</f>
        <v>-0.51300000000000001</v>
      </c>
      <c r="M34" t="str">
        <v>EUSWE3</v>
      </c>
      <c r="N34">
        <v>-0.52800000000000002</v>
      </c>
    </row>
    <row r="35" spans="2:14" x14ac:dyDescent="0.25">
      <c r="B35" t="s">
        <v>11</v>
      </c>
      <c r="C35" t="s">
        <v>755</v>
      </c>
      <c r="D35" t="s">
        <v>813</v>
      </c>
      <c r="E35" t="s">
        <v>11</v>
      </c>
      <c r="F35" t="s">
        <v>11</v>
      </c>
      <c r="G35">
        <v>-0.52849999999999997</v>
      </c>
      <c r="I35" t="s">
        <v>784</v>
      </c>
      <c r="J35">
        <f>MATCH(C35,M:M,0)</f>
        <v>58</v>
      </c>
      <c r="K35" cm="1">
        <f t="array" ref="K35">INDEX(N:N,J35)</f>
        <v>-0.53159999999999996</v>
      </c>
      <c r="M35" t="str">
        <v>EUBSV15</v>
      </c>
      <c r="N35">
        <v>1.1499999999999999</v>
      </c>
    </row>
    <row r="36" spans="2:14" x14ac:dyDescent="0.25">
      <c r="B36" t="s">
        <v>11</v>
      </c>
      <c r="C36" t="s">
        <v>85</v>
      </c>
      <c r="D36" t="s">
        <v>184</v>
      </c>
      <c r="E36" t="s">
        <v>30</v>
      </c>
      <c r="F36" t="s">
        <v>804</v>
      </c>
      <c r="G36">
        <v>-0.52300000000000002</v>
      </c>
      <c r="I36" t="s">
        <v>785</v>
      </c>
      <c r="J36">
        <f>MATCH(C36,M:M,0)</f>
        <v>41</v>
      </c>
      <c r="K36" cm="1">
        <f t="array" ref="K36">INDEX(N:N,J36)</f>
        <v>-0.52500000000000002</v>
      </c>
      <c r="M36" t="str">
        <v>EUBSV2</v>
      </c>
      <c r="N36">
        <v>2.8</v>
      </c>
    </row>
    <row r="37" spans="2:14" x14ac:dyDescent="0.25">
      <c r="B37" t="s">
        <v>11</v>
      </c>
      <c r="C37" t="s">
        <v>60</v>
      </c>
      <c r="D37" t="s">
        <v>186</v>
      </c>
      <c r="E37" t="s">
        <v>30</v>
      </c>
      <c r="F37" t="s">
        <v>805</v>
      </c>
      <c r="G37">
        <v>-0.51400000000000001</v>
      </c>
      <c r="I37" t="s">
        <v>786</v>
      </c>
      <c r="J37">
        <f>MATCH(C37,M:M,0)</f>
        <v>45</v>
      </c>
      <c r="K37" cm="1">
        <f t="array" ref="K37">INDEX(N:N,J37)</f>
        <v>-0.51500000000000001</v>
      </c>
      <c r="M37" t="str">
        <v>EUSWE2</v>
      </c>
      <c r="N37">
        <v>-0.52600000000000002</v>
      </c>
    </row>
    <row r="38" spans="2:14" x14ac:dyDescent="0.25">
      <c r="B38" t="s">
        <v>11</v>
      </c>
      <c r="C38" t="s">
        <v>61</v>
      </c>
      <c r="D38" t="s">
        <v>188</v>
      </c>
      <c r="E38" t="s">
        <v>30</v>
      </c>
      <c r="F38" t="s">
        <v>806</v>
      </c>
      <c r="G38">
        <v>-0.48899999999999999</v>
      </c>
      <c r="I38" t="s">
        <v>787</v>
      </c>
      <c r="J38">
        <f>MATCH(C38,M:M,0)</f>
        <v>43</v>
      </c>
      <c r="K38" cm="1">
        <f t="array" ref="K38">INDEX(N:N,J38)</f>
        <v>-0.49199999999999999</v>
      </c>
      <c r="M38" t="str">
        <v>EUBSV10</v>
      </c>
      <c r="N38">
        <v>2.25</v>
      </c>
    </row>
    <row r="39" spans="2:14" x14ac:dyDescent="0.25">
      <c r="B39" t="s">
        <v>11</v>
      </c>
      <c r="C39" t="s">
        <v>62</v>
      </c>
      <c r="D39" t="s">
        <v>190</v>
      </c>
      <c r="E39" t="s">
        <v>30</v>
      </c>
      <c r="F39" t="s">
        <v>807</v>
      </c>
      <c r="G39">
        <v>-0.45700000000000002</v>
      </c>
      <c r="I39" t="s">
        <v>788</v>
      </c>
      <c r="J39">
        <f>MATCH(C39,M:M,0)</f>
        <v>22</v>
      </c>
      <c r="K39" cm="1">
        <f t="array" ref="K39">INDEX(N:N,J39)</f>
        <v>-0.46100000000000002</v>
      </c>
      <c r="M39" t="str">
        <v>EUBSV5</v>
      </c>
      <c r="N39">
        <v>3.15</v>
      </c>
    </row>
    <row r="40" spans="2:14" x14ac:dyDescent="0.25">
      <c r="B40" t="s">
        <v>11</v>
      </c>
      <c r="C40" t="s">
        <v>64</v>
      </c>
      <c r="D40" t="s">
        <v>194</v>
      </c>
      <c r="E40" t="s">
        <v>30</v>
      </c>
      <c r="F40" t="s">
        <v>808</v>
      </c>
      <c r="G40">
        <v>-0.38100000000000001</v>
      </c>
      <c r="I40" t="s">
        <v>789</v>
      </c>
      <c r="J40">
        <f>MATCH(C40,M:M,0)</f>
        <v>23</v>
      </c>
      <c r="K40" cm="1">
        <f t="array" ref="K40">INDEX(N:N,J40)</f>
        <v>-0.38200000000000001</v>
      </c>
      <c r="M40" t="str">
        <v>EUSA15</v>
      </c>
      <c r="N40">
        <v>-0.05</v>
      </c>
    </row>
    <row r="41" spans="2:14" x14ac:dyDescent="0.25">
      <c r="B41" t="s">
        <v>11</v>
      </c>
      <c r="C41" t="s">
        <v>67</v>
      </c>
      <c r="D41" t="s">
        <v>200</v>
      </c>
      <c r="E41" t="s">
        <v>30</v>
      </c>
      <c r="F41" t="s">
        <v>809</v>
      </c>
      <c r="G41">
        <v>-0.24399999999999999</v>
      </c>
      <c r="I41" t="s">
        <v>790</v>
      </c>
      <c r="J41">
        <f>MATCH(C41,M:M,0)</f>
        <v>56</v>
      </c>
      <c r="K41" cm="1">
        <f t="array" ref="K41">INDEX(N:N,J41)</f>
        <v>-0.24299999999999999</v>
      </c>
      <c r="M41" t="str">
        <v>EUSA2</v>
      </c>
      <c r="N41">
        <v>-0.52500000000000002</v>
      </c>
    </row>
    <row r="42" spans="2:14" x14ac:dyDescent="0.25">
      <c r="B42" t="s">
        <v>11</v>
      </c>
      <c r="C42" t="s">
        <v>70</v>
      </c>
      <c r="D42" t="s">
        <v>206</v>
      </c>
      <c r="E42" t="s">
        <v>30</v>
      </c>
      <c r="F42" t="s">
        <v>810</v>
      </c>
      <c r="G42">
        <v>-5.2999999999999999E-2</v>
      </c>
      <c r="I42" t="s">
        <v>791</v>
      </c>
      <c r="J42">
        <f>MATCH(C42,M:M,0)</f>
        <v>40</v>
      </c>
      <c r="K42" cm="1">
        <f t="array" ref="K42">INDEX(N:N,J42)</f>
        <v>-0.05</v>
      </c>
      <c r="M42" t="str">
        <v>EUSAC0C</v>
      </c>
      <c r="N42">
        <v>-0.52969999999999995</v>
      </c>
    </row>
    <row r="43" spans="2:14" x14ac:dyDescent="0.25">
      <c r="B43" t="s">
        <v>11</v>
      </c>
      <c r="C43" t="s">
        <v>71</v>
      </c>
      <c r="D43" t="s">
        <v>208</v>
      </c>
      <c r="E43" t="s">
        <v>30</v>
      </c>
      <c r="F43" t="s">
        <v>811</v>
      </c>
      <c r="G43">
        <v>2.7E-2</v>
      </c>
      <c r="I43" t="s">
        <v>792</v>
      </c>
      <c r="J43">
        <f>MATCH(C43,M:M,0)</f>
        <v>44</v>
      </c>
      <c r="K43" cm="1">
        <f t="array" ref="K43">INDEX(N:N,J43)</f>
        <v>3.1E-2</v>
      </c>
      <c r="M43" t="str">
        <v>EUSA4</v>
      </c>
      <c r="N43">
        <v>-0.49199999999999999</v>
      </c>
    </row>
    <row r="44" spans="2:14" x14ac:dyDescent="0.25">
      <c r="B44" t="s">
        <v>11</v>
      </c>
      <c r="C44" t="s">
        <v>73</v>
      </c>
      <c r="D44" t="s">
        <v>212</v>
      </c>
      <c r="E44" t="s">
        <v>30</v>
      </c>
      <c r="F44" t="s">
        <v>812</v>
      </c>
      <c r="G44">
        <v>3.0000000000000001E-3</v>
      </c>
      <c r="I44" t="s">
        <v>793</v>
      </c>
      <c r="J44">
        <f>MATCH(C44,M:M,0)</f>
        <v>52</v>
      </c>
      <c r="K44" cm="1">
        <f t="array" ref="K44">INDEX(N:N,J44)</f>
        <v>7.0000000000000001E-3</v>
      </c>
      <c r="M44" t="str">
        <v>EUSA20</v>
      </c>
      <c r="N44">
        <v>3.1E-2</v>
      </c>
    </row>
    <row r="45" spans="2:14" x14ac:dyDescent="0.25">
      <c r="M45" t="str">
        <v>EUSA3</v>
      </c>
      <c r="N45">
        <v>-0.51500000000000001</v>
      </c>
    </row>
    <row r="46" spans="2:14" x14ac:dyDescent="0.25">
      <c r="M46" t="str">
        <v>EUSWE4</v>
      </c>
      <c r="N46">
        <v>-0.51500000000000001</v>
      </c>
    </row>
    <row r="47" spans="2:14" x14ac:dyDescent="0.25">
      <c r="M47" t="str">
        <v>EUBSV30</v>
      </c>
      <c r="N47">
        <v>-0.4</v>
      </c>
    </row>
    <row r="48" spans="2:14" x14ac:dyDescent="0.25">
      <c r="M48" t="str">
        <v>EUSWEB</v>
      </c>
      <c r="N48">
        <v>-0.48099999999999998</v>
      </c>
    </row>
    <row r="49" spans="13:14" x14ac:dyDescent="0.25">
      <c r="M49" t="str">
        <v>EUSWE5</v>
      </c>
      <c r="N49">
        <v>-0.49299999999999999</v>
      </c>
    </row>
    <row r="50" spans="13:14" x14ac:dyDescent="0.25">
      <c r="M50" t="str">
        <v>EUBSV7</v>
      </c>
      <c r="N50">
        <v>2.9</v>
      </c>
    </row>
    <row r="51" spans="13:14" x14ac:dyDescent="0.25">
      <c r="M51" t="str">
        <v>EUSWEF</v>
      </c>
      <c r="N51">
        <v>-0.49199999999999999</v>
      </c>
    </row>
    <row r="52" spans="13:14" x14ac:dyDescent="0.25">
      <c r="M52" t="str">
        <v>EUSA30</v>
      </c>
      <c r="N52">
        <v>7.0000000000000001E-3</v>
      </c>
    </row>
    <row r="53" spans="13:14" x14ac:dyDescent="0.25">
      <c r="M53" t="str">
        <v>EUBSV1</v>
      </c>
      <c r="N53">
        <v>2.5499999999999998</v>
      </c>
    </row>
    <row r="54" spans="13:14" x14ac:dyDescent="0.25">
      <c r="M54" t="str">
        <v>EUSWE10</v>
      </c>
      <c r="N54">
        <v>-0.28899999999999998</v>
      </c>
    </row>
    <row r="55" spans="13:14" x14ac:dyDescent="0.25">
      <c r="M55" t="str">
        <v>EUSWEA</v>
      </c>
      <c r="N55">
        <v>-0.47499999999999998</v>
      </c>
    </row>
    <row r="56" spans="13:14" x14ac:dyDescent="0.25">
      <c r="M56" t="str">
        <v>EUSA10</v>
      </c>
      <c r="N56">
        <v>-0.24299999999999999</v>
      </c>
    </row>
    <row r="57" spans="13:14" x14ac:dyDescent="0.25">
      <c r="M57" t="str">
        <v>EUSWEC</v>
      </c>
      <c r="N57">
        <v>-0.48399999999999999</v>
      </c>
    </row>
    <row r="58" spans="13:14" x14ac:dyDescent="0.25">
      <c r="M58" t="str">
        <v>EUSAF0F</v>
      </c>
      <c r="N58">
        <v>-0.53159999999999996</v>
      </c>
    </row>
    <row r="59" spans="13:14" x14ac:dyDescent="0.25">
      <c r="M59" t="e">
        <v>#N/A</v>
      </c>
      <c r="N59" t="e">
        <v>#N/A</v>
      </c>
    </row>
    <row r="60" spans="13:14" x14ac:dyDescent="0.25">
      <c r="M60" t="e">
        <v>#N/A</v>
      </c>
      <c r="N60" t="e">
        <v>#N/A</v>
      </c>
    </row>
    <row r="61" spans="13:14" x14ac:dyDescent="0.25">
      <c r="M61" t="e">
        <v>#N/A</v>
      </c>
      <c r="N61" t="e">
        <v>#N/A</v>
      </c>
    </row>
    <row r="62" spans="13:14" x14ac:dyDescent="0.25">
      <c r="M62" t="e">
        <v>#N/A</v>
      </c>
      <c r="N62" t="e">
        <v>#N/A</v>
      </c>
    </row>
    <row r="63" spans="13:14" x14ac:dyDescent="0.25">
      <c r="M63" t="e">
        <v>#N/A</v>
      </c>
      <c r="N63" t="e">
        <v>#N/A</v>
      </c>
    </row>
    <row r="64" spans="13:14" x14ac:dyDescent="0.25">
      <c r="M64" t="e">
        <v>#N/A</v>
      </c>
      <c r="N64" t="e">
        <v>#N/A</v>
      </c>
    </row>
    <row r="65" spans="13:14" x14ac:dyDescent="0.25">
      <c r="M65" t="e">
        <v>#N/A</v>
      </c>
      <c r="N65" t="e">
        <v>#N/A</v>
      </c>
    </row>
    <row r="66" spans="13:14" x14ac:dyDescent="0.25">
      <c r="M66" t="e">
        <v>#N/A</v>
      </c>
      <c r="N66" t="e">
        <v>#N/A</v>
      </c>
    </row>
    <row r="67" spans="13:14" x14ac:dyDescent="0.25">
      <c r="M67" t="e">
        <v>#N/A</v>
      </c>
      <c r="N67" t="e">
        <v>#N/A</v>
      </c>
    </row>
    <row r="68" spans="13:14" x14ac:dyDescent="0.25">
      <c r="M68" t="e">
        <v>#N/A</v>
      </c>
      <c r="N68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CURVES_BBG</vt:lpstr>
      <vt:lpstr>CURVES_STATIC</vt:lpstr>
      <vt:lpstr>EURBASICCURVE_BBG</vt:lpstr>
      <vt:lpstr>EURBASICCURVE_STATIC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dC</dc:creator>
  <cp:lastModifiedBy>Robert Johnson-Perkins</cp:lastModifiedBy>
  <dcterms:created xsi:type="dcterms:W3CDTF">2020-11-17T10:51:11Z</dcterms:created>
  <dcterms:modified xsi:type="dcterms:W3CDTF">2020-11-20T10:29:56Z</dcterms:modified>
</cp:coreProperties>
</file>