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elop\bertybots\OracRTD\web\public\"/>
    </mc:Choice>
  </mc:AlternateContent>
  <xr:revisionPtr revIDLastSave="0" documentId="13_ncr:1_{C837EF53-4043-4188-AD17-77D0A1E82CAB}" xr6:coauthVersionLast="45" xr6:coauthVersionMax="45" xr10:uidLastSave="{00000000-0000-0000-0000-000000000000}"/>
  <bookViews>
    <workbookView xWindow="-120" yWindow="-120" windowWidth="38640" windowHeight="21240" xr2:uid="{CEC251A4-B6D6-4822-AE4A-E10DC76190B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3" i="1" l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48" i="1"/>
  <c r="D47" i="1"/>
  <c r="D46" i="1"/>
  <c r="D45" i="1"/>
  <c r="D44" i="1"/>
  <c r="D43" i="1"/>
  <c r="D42" i="1"/>
  <c r="D41" i="1"/>
  <c r="D40" i="1"/>
  <c r="D39" i="1"/>
  <c r="D38" i="1"/>
  <c r="D36" i="1"/>
  <c r="D35" i="1"/>
  <c r="D34" i="1"/>
  <c r="D33" i="1"/>
  <c r="D32" i="1"/>
  <c r="D31" i="1"/>
  <c r="D30" i="1"/>
  <c r="D29" i="1"/>
  <c r="D28" i="1"/>
  <c r="D27" i="1"/>
  <c r="D26" i="1"/>
  <c r="D25" i="1"/>
  <c r="X9" i="1"/>
  <c r="Y10" i="1"/>
  <c r="Y11" i="1" s="1"/>
  <c r="X10" i="1" l="1"/>
  <c r="Y12" i="1"/>
  <c r="X11" i="1"/>
  <c r="H6" i="1" a="1"/>
  <c r="H3" i="1" a="1"/>
  <c r="H6" i="1"/>
  <c r="H3" i="1"/>
  <c r="H41" i="1" a="1"/>
  <c r="H47" i="1" a="1"/>
  <c r="H11" i="1" a="1"/>
  <c r="H10" i="1" a="1"/>
  <c r="H48" i="1" a="1"/>
  <c r="H40" i="1" a="1"/>
  <c r="H43" i="1" a="1"/>
  <c r="H42" i="1" a="1"/>
  <c r="H45" i="1" a="1"/>
  <c r="H46" i="1" a="1"/>
  <c r="H12" i="1" a="1"/>
  <c r="H39" i="1" a="1"/>
  <c r="H44" i="1" a="1"/>
  <c r="Y13" i="1" l="1"/>
  <c r="X12" i="1"/>
  <c r="H47" i="1"/>
  <c r="H41" i="1"/>
  <c r="H44" i="1"/>
  <c r="H39" i="1"/>
  <c r="H43" i="1"/>
  <c r="H45" i="1"/>
  <c r="H42" i="1"/>
  <c r="H46" i="1"/>
  <c r="H40" i="1"/>
  <c r="H48" i="1"/>
  <c r="H12" i="1"/>
  <c r="H11" i="1"/>
  <c r="H10" i="1"/>
  <c r="H4" i="1" a="1"/>
  <c r="H21" i="1" a="1"/>
  <c r="H22" i="1" a="1"/>
  <c r="H4" i="1"/>
  <c r="K10" i="1" a="1"/>
  <c r="L39" i="1" a="1"/>
  <c r="L48" i="1" a="1"/>
  <c r="I48" i="1" a="1"/>
  <c r="L47" i="1" a="1"/>
  <c r="I44" i="1" a="1"/>
  <c r="K45" i="1" a="1"/>
  <c r="I10" i="1" a="1"/>
  <c r="J46" i="1" a="1"/>
  <c r="J45" i="1" a="1"/>
  <c r="H5" i="1" a="1"/>
  <c r="L45" i="1" a="1"/>
  <c r="K41" i="1" a="1"/>
  <c r="I42" i="1" a="1"/>
  <c r="L43" i="1" a="1"/>
  <c r="J41" i="1" a="1"/>
  <c r="J44" i="1" a="1"/>
  <c r="K11" i="1" a="1"/>
  <c r="K22" i="1" a="1"/>
  <c r="J40" i="1" a="1"/>
  <c r="I39" i="1" a="1"/>
  <c r="L10" i="1" a="1"/>
  <c r="I22" i="1" a="1"/>
  <c r="J42" i="1" a="1"/>
  <c r="L40" i="1" a="1"/>
  <c r="J21" i="1" a="1"/>
  <c r="I40" i="1" a="1"/>
  <c r="L46" i="1" a="1"/>
  <c r="K46" i="1" a="1"/>
  <c r="L11" i="1" a="1"/>
  <c r="L41" i="1" a="1"/>
  <c r="K42" i="1" a="1"/>
  <c r="J22" i="1" a="1"/>
  <c r="K44" i="1" a="1"/>
  <c r="J11" i="1" a="1"/>
  <c r="J43" i="1" a="1"/>
  <c r="K43" i="1" a="1"/>
  <c r="J47" i="1" a="1"/>
  <c r="I46" i="1" a="1"/>
  <c r="J10" i="1" a="1"/>
  <c r="K47" i="1" a="1"/>
  <c r="K40" i="1" a="1"/>
  <c r="J39" i="1" a="1"/>
  <c r="I41" i="1" a="1"/>
  <c r="I11" i="1" a="1"/>
  <c r="I47" i="1" a="1"/>
  <c r="I21" i="1" a="1"/>
  <c r="I45" i="1" a="1"/>
  <c r="I43" i="1" a="1"/>
  <c r="K39" i="1" a="1"/>
  <c r="J48" i="1" a="1"/>
  <c r="K21" i="1" a="1"/>
  <c r="L42" i="1" a="1"/>
  <c r="K48" i="1" a="1"/>
  <c r="L21" i="1" a="1"/>
  <c r="L44" i="1" a="1"/>
  <c r="L22" i="1" a="1"/>
  <c r="Y14" i="1" l="1"/>
  <c r="X13" i="1"/>
  <c r="H5" i="1"/>
  <c r="K47" i="1"/>
  <c r="J46" i="1"/>
  <c r="I45" i="1"/>
  <c r="L42" i="1"/>
  <c r="K41" i="1"/>
  <c r="J40" i="1"/>
  <c r="K45" i="1"/>
  <c r="K39" i="1"/>
  <c r="K46" i="1"/>
  <c r="J39" i="1"/>
  <c r="L48" i="1"/>
  <c r="I39" i="1"/>
  <c r="J43" i="1"/>
  <c r="I43" i="1"/>
  <c r="L47" i="1"/>
  <c r="J47" i="1"/>
  <c r="I46" i="1"/>
  <c r="L43" i="1"/>
  <c r="K42" i="1"/>
  <c r="J41" i="1"/>
  <c r="I41" i="1"/>
  <c r="K44" i="1"/>
  <c r="I42" i="1"/>
  <c r="J44" i="1"/>
  <c r="K48" i="1"/>
  <c r="I40" i="1"/>
  <c r="I44" i="1"/>
  <c r="J48" i="1"/>
  <c r="L44" i="1"/>
  <c r="K43" i="1"/>
  <c r="J42" i="1"/>
  <c r="L45" i="1"/>
  <c r="L39" i="1"/>
  <c r="L46" i="1"/>
  <c r="J45" i="1"/>
  <c r="I47" i="1"/>
  <c r="L40" i="1"/>
  <c r="L41" i="1"/>
  <c r="I48" i="1"/>
  <c r="K40" i="1"/>
  <c r="H21" i="1"/>
  <c r="K21" i="1"/>
  <c r="J21" i="1"/>
  <c r="I21" i="1"/>
  <c r="L21" i="1"/>
  <c r="K22" i="1"/>
  <c r="H22" i="1"/>
  <c r="J22" i="1"/>
  <c r="L22" i="1"/>
  <c r="I22" i="1"/>
  <c r="J11" i="1"/>
  <c r="I11" i="1"/>
  <c r="K11" i="1"/>
  <c r="L11" i="1"/>
  <c r="J10" i="1"/>
  <c r="L10" i="1"/>
  <c r="K10" i="1"/>
  <c r="I10" i="1"/>
  <c r="K12" i="1" a="1"/>
  <c r="Z11" i="1" a="1"/>
  <c r="Z10" i="1" a="1"/>
  <c r="S9" i="1" a="1"/>
  <c r="J23" i="1" a="1"/>
  <c r="Z12" i="1" a="1"/>
  <c r="Z13" i="1" a="1"/>
  <c r="J12" i="1" a="1"/>
  <c r="Z9" i="1" a="1"/>
  <c r="I23" i="1" a="1"/>
  <c r="L12" i="1" a="1"/>
  <c r="I12" i="1" a="1"/>
  <c r="H23" i="1" a="1"/>
  <c r="K23" i="1" a="1"/>
  <c r="N9" i="1" a="1"/>
  <c r="L23" i="1" a="1"/>
  <c r="Z12" i="1" l="1"/>
  <c r="Z10" i="1"/>
  <c r="Z13" i="1"/>
  <c r="Z11" i="1"/>
  <c r="Z9" i="1"/>
  <c r="Y15" i="1"/>
  <c r="X14" i="1"/>
  <c r="V17" i="1"/>
  <c r="V53" i="1"/>
  <c r="S30" i="1"/>
  <c r="U15" i="1"/>
  <c r="S10" i="1"/>
  <c r="S59" i="1"/>
  <c r="T30" i="1"/>
  <c r="U12" i="1"/>
  <c r="V39" i="1"/>
  <c r="T49" i="1"/>
  <c r="T65" i="1"/>
  <c r="S55" i="1"/>
  <c r="V49" i="1"/>
  <c r="V21" i="1"/>
  <c r="T55" i="1"/>
  <c r="T17" i="1"/>
  <c r="S62" i="1"/>
  <c r="U10" i="1"/>
  <c r="V64" i="1"/>
  <c r="U24" i="1"/>
  <c r="T31" i="1"/>
  <c r="U25" i="1"/>
  <c r="V58" i="1"/>
  <c r="S42" i="1"/>
  <c r="T28" i="1"/>
  <c r="U39" i="1"/>
  <c r="U30" i="1"/>
  <c r="T11" i="1"/>
  <c r="S45" i="1"/>
  <c r="S28" i="1"/>
  <c r="T35" i="1"/>
  <c r="T58" i="1"/>
  <c r="V51" i="1"/>
  <c r="S52" i="1"/>
  <c r="T50" i="1"/>
  <c r="U63" i="1"/>
  <c r="T51" i="1"/>
  <c r="U29" i="1"/>
  <c r="V37" i="1"/>
  <c r="U59" i="1"/>
  <c r="S25" i="1"/>
  <c r="V10" i="1"/>
  <c r="V47" i="1"/>
  <c r="T14" i="1"/>
  <c r="S20" i="1"/>
  <c r="S27" i="1"/>
  <c r="V30" i="1"/>
  <c r="S50" i="1"/>
  <c r="V20" i="1"/>
  <c r="V56" i="1"/>
  <c r="S33" i="1"/>
  <c r="U21" i="1"/>
  <c r="S31" i="1"/>
  <c r="T29" i="1"/>
  <c r="T33" i="1"/>
  <c r="U18" i="1"/>
  <c r="V48" i="1"/>
  <c r="T64" i="1"/>
  <c r="U26" i="1"/>
  <c r="T19" i="1"/>
  <c r="S14" i="1"/>
  <c r="V27" i="1"/>
  <c r="U13" i="1"/>
  <c r="T41" i="1"/>
  <c r="T26" i="1"/>
  <c r="V40" i="1"/>
  <c r="S32" i="1"/>
  <c r="V23" i="1"/>
  <c r="V59" i="1"/>
  <c r="S36" i="1"/>
  <c r="U27" i="1"/>
  <c r="S49" i="1"/>
  <c r="T56" i="1"/>
  <c r="T36" i="1"/>
  <c r="V57" i="1"/>
  <c r="U19" i="1"/>
  <c r="U50" i="1"/>
  <c r="S38" i="1"/>
  <c r="V42" i="1"/>
  <c r="U17" i="1"/>
  <c r="T44" i="1"/>
  <c r="S53" i="1"/>
  <c r="V65" i="1"/>
  <c r="U42" i="1"/>
  <c r="T42" i="1"/>
  <c r="S22" i="1"/>
  <c r="U43" i="1"/>
  <c r="T52" i="1"/>
  <c r="S19" i="1"/>
  <c r="T9" i="1"/>
  <c r="V36" i="1"/>
  <c r="U49" i="1"/>
  <c r="U14" i="1"/>
  <c r="T62" i="1"/>
  <c r="S17" i="1"/>
  <c r="S15" i="1"/>
  <c r="V46" i="1"/>
  <c r="V22" i="1"/>
  <c r="S44" i="1"/>
  <c r="S11" i="1"/>
  <c r="V11" i="1"/>
  <c r="T25" i="1"/>
  <c r="S35" i="1"/>
  <c r="V14" i="1"/>
  <c r="V15" i="1"/>
  <c r="V26" i="1"/>
  <c r="V62" i="1"/>
  <c r="S39" i="1"/>
  <c r="U36" i="1"/>
  <c r="T16" i="1"/>
  <c r="U32" i="1"/>
  <c r="T39" i="1"/>
  <c r="U33" i="1"/>
  <c r="S13" i="1"/>
  <c r="U31" i="1"/>
  <c r="U9" i="1"/>
  <c r="T40" i="1"/>
  <c r="S56" i="1"/>
  <c r="V63" i="1"/>
  <c r="U34" i="1"/>
  <c r="U47" i="1"/>
  <c r="U11" i="1"/>
  <c r="S29" i="1"/>
  <c r="T23" i="1"/>
  <c r="V29" i="1"/>
  <c r="U56" i="1"/>
  <c r="U46" i="1"/>
  <c r="S64" i="1"/>
  <c r="U41" i="1"/>
  <c r="S47" i="1"/>
  <c r="T47" i="1"/>
  <c r="S9" i="1"/>
  <c r="T43" i="1"/>
  <c r="U45" i="1"/>
  <c r="U61" i="1"/>
  <c r="T61" i="1"/>
  <c r="U58" i="1"/>
  <c r="T20" i="1"/>
  <c r="V25" i="1"/>
  <c r="V19" i="1"/>
  <c r="U35" i="1"/>
  <c r="S51" i="1"/>
  <c r="T15" i="1"/>
  <c r="V60" i="1"/>
  <c r="U20" i="1"/>
  <c r="T22" i="1"/>
  <c r="V55" i="1"/>
  <c r="S34" i="1"/>
  <c r="S26" i="1"/>
  <c r="V34" i="1"/>
  <c r="V32" i="1"/>
  <c r="U48" i="1"/>
  <c r="T45" i="1"/>
  <c r="S40" i="1"/>
  <c r="V38" i="1"/>
  <c r="S46" i="1"/>
  <c r="S61" i="1"/>
  <c r="T13" i="1"/>
  <c r="V61" i="1"/>
  <c r="S24" i="1"/>
  <c r="T60" i="1"/>
  <c r="V9" i="1"/>
  <c r="V13" i="1"/>
  <c r="S63" i="1"/>
  <c r="T63" i="1"/>
  <c r="S43" i="1"/>
  <c r="S41" i="1"/>
  <c r="V35" i="1"/>
  <c r="S12" i="1"/>
  <c r="S48" i="1"/>
  <c r="U54" i="1"/>
  <c r="U22" i="1"/>
  <c r="T12" i="1"/>
  <c r="T48" i="1"/>
  <c r="U51" i="1"/>
  <c r="S37" i="1"/>
  <c r="U16" i="1"/>
  <c r="U64" i="1"/>
  <c r="U37" i="1"/>
  <c r="U57" i="1"/>
  <c r="U28" i="1"/>
  <c r="S65" i="1"/>
  <c r="U65" i="1"/>
  <c r="T59" i="1"/>
  <c r="V45" i="1"/>
  <c r="V24" i="1"/>
  <c r="V28" i="1"/>
  <c r="U23" i="1"/>
  <c r="V50" i="1"/>
  <c r="T38" i="1"/>
  <c r="U53" i="1"/>
  <c r="V41" i="1"/>
  <c r="S18" i="1"/>
  <c r="S54" i="1"/>
  <c r="V18" i="1"/>
  <c r="U52" i="1"/>
  <c r="T18" i="1"/>
  <c r="T54" i="1"/>
  <c r="U60" i="1"/>
  <c r="S58" i="1"/>
  <c r="S23" i="1"/>
  <c r="S16" i="1"/>
  <c r="U40" i="1"/>
  <c r="U44" i="1"/>
  <c r="T10" i="1"/>
  <c r="V52" i="1"/>
  <c r="V43" i="1"/>
  <c r="T32" i="1"/>
  <c r="U38" i="1"/>
  <c r="T53" i="1"/>
  <c r="V44" i="1"/>
  <c r="S21" i="1"/>
  <c r="S57" i="1"/>
  <c r="V33" i="1"/>
  <c r="V16" i="1"/>
  <c r="T21" i="1"/>
  <c r="T57" i="1"/>
  <c r="V12" i="1"/>
  <c r="U55" i="1"/>
  <c r="U62" i="1"/>
  <c r="S60" i="1"/>
  <c r="T24" i="1"/>
  <c r="T34" i="1"/>
  <c r="V54" i="1"/>
  <c r="T27" i="1"/>
  <c r="T37" i="1"/>
  <c r="T46" i="1"/>
  <c r="V31" i="1"/>
  <c r="Q33" i="1"/>
  <c r="P27" i="1"/>
  <c r="Q17" i="1"/>
  <c r="N33" i="1"/>
  <c r="O12" i="1"/>
  <c r="P15" i="1"/>
  <c r="P42" i="1"/>
  <c r="P35" i="1"/>
  <c r="O23" i="1"/>
  <c r="N37" i="1"/>
  <c r="Q14" i="1"/>
  <c r="O35" i="1"/>
  <c r="N23" i="1"/>
  <c r="N40" i="1"/>
  <c r="N44" i="1"/>
  <c r="Q42" i="1"/>
  <c r="O46" i="1"/>
  <c r="Q10" i="1"/>
  <c r="N16" i="1"/>
  <c r="N24" i="1"/>
  <c r="N19" i="1"/>
  <c r="P48" i="1"/>
  <c r="O18" i="1"/>
  <c r="N25" i="1"/>
  <c r="Q15" i="1"/>
  <c r="Q16" i="1"/>
  <c r="P24" i="1"/>
  <c r="N26" i="1"/>
  <c r="Q40" i="1"/>
  <c r="N47" i="1"/>
  <c r="Q34" i="1"/>
  <c r="P46" i="1"/>
  <c r="O11" i="1"/>
  <c r="O47" i="1"/>
  <c r="P26" i="1"/>
  <c r="N18" i="1"/>
  <c r="N39" i="1"/>
  <c r="P13" i="1"/>
  <c r="N32" i="1"/>
  <c r="O48" i="1"/>
  <c r="Q21" i="1"/>
  <c r="P18" i="1"/>
  <c r="N43" i="1"/>
  <c r="Q36" i="1"/>
  <c r="N45" i="1"/>
  <c r="N13" i="1"/>
  <c r="P36" i="1"/>
  <c r="O37" i="1"/>
  <c r="Q48" i="1"/>
  <c r="P16" i="1"/>
  <c r="Q35" i="1"/>
  <c r="P45" i="1"/>
  <c r="O34" i="1"/>
  <c r="Q44" i="1"/>
  <c r="Q24" i="1"/>
  <c r="P21" i="1"/>
  <c r="N46" i="1"/>
  <c r="O9" i="1"/>
  <c r="P12" i="1"/>
  <c r="O39" i="1"/>
  <c r="O45" i="1"/>
  <c r="P23" i="1"/>
  <c r="N17" i="1"/>
  <c r="Q31" i="1"/>
  <c r="P10" i="1"/>
  <c r="P20" i="1"/>
  <c r="Q27" i="1"/>
  <c r="N30" i="1"/>
  <c r="P39" i="1"/>
  <c r="O40" i="1"/>
  <c r="N10" i="1"/>
  <c r="P33" i="1"/>
  <c r="O10" i="1"/>
  <c r="Q45" i="1"/>
  <c r="Q30" i="1"/>
  <c r="P34" i="1"/>
  <c r="P44" i="1"/>
  <c r="O21" i="1"/>
  <c r="N35" i="1"/>
  <c r="Q23" i="1"/>
  <c r="O33" i="1"/>
  <c r="Q20" i="1"/>
  <c r="Q12" i="1"/>
  <c r="O42" i="1"/>
  <c r="Q32" i="1"/>
  <c r="P40" i="1"/>
  <c r="N42" i="1"/>
  <c r="P43" i="1"/>
  <c r="O30" i="1"/>
  <c r="N9" i="1"/>
  <c r="Q26" i="1"/>
  <c r="P14" i="1"/>
  <c r="P19" i="1"/>
  <c r="O43" i="1"/>
  <c r="O44" i="1"/>
  <c r="O41" i="1"/>
  <c r="O38" i="1"/>
  <c r="O13" i="1"/>
  <c r="Q38" i="1"/>
  <c r="O16" i="1"/>
  <c r="P29" i="1"/>
  <c r="N22" i="1"/>
  <c r="O22" i="1"/>
  <c r="N28" i="1"/>
  <c r="P47" i="1"/>
  <c r="Q19" i="1"/>
  <c r="Q39" i="1"/>
  <c r="P25" i="1"/>
  <c r="P17" i="1"/>
  <c r="Q9" i="1"/>
  <c r="Q28" i="1"/>
  <c r="O19" i="1"/>
  <c r="Q43" i="1"/>
  <c r="O25" i="1"/>
  <c r="P22" i="1"/>
  <c r="Q25" i="1"/>
  <c r="P28" i="1"/>
  <c r="O27" i="1"/>
  <c r="P38" i="1"/>
  <c r="O28" i="1"/>
  <c r="P37" i="1"/>
  <c r="N21" i="1"/>
  <c r="P41" i="1"/>
  <c r="Q41" i="1"/>
  <c r="O31" i="1"/>
  <c r="P30" i="1"/>
  <c r="N36" i="1"/>
  <c r="Q11" i="1"/>
  <c r="N48" i="1"/>
  <c r="O29" i="1"/>
  <c r="Q37" i="1"/>
  <c r="N20" i="1"/>
  <c r="Q47" i="1"/>
  <c r="N11" i="1"/>
  <c r="O36" i="1"/>
  <c r="Q29" i="1"/>
  <c r="Q13" i="1"/>
  <c r="O14" i="1"/>
  <c r="N41" i="1"/>
  <c r="Q18" i="1"/>
  <c r="N14" i="1"/>
  <c r="P32" i="1"/>
  <c r="N12" i="1"/>
  <c r="Q46" i="1"/>
  <c r="N29" i="1"/>
  <c r="P9" i="1"/>
  <c r="N31" i="1"/>
  <c r="O15" i="1"/>
  <c r="Q22" i="1"/>
  <c r="O32" i="1"/>
  <c r="P31" i="1"/>
  <c r="N15" i="1"/>
  <c r="O24" i="1"/>
  <c r="P11" i="1"/>
  <c r="O20" i="1"/>
  <c r="O26" i="1"/>
  <c r="O17" i="1"/>
  <c r="N34" i="1"/>
  <c r="N38" i="1"/>
  <c r="N27" i="1"/>
  <c r="K23" i="1"/>
  <c r="J23" i="1"/>
  <c r="I23" i="1"/>
  <c r="H23" i="1"/>
  <c r="L23" i="1"/>
  <c r="J12" i="1"/>
  <c r="I12" i="1"/>
  <c r="L12" i="1"/>
  <c r="K12" i="1"/>
  <c r="K13" i="1" a="1"/>
  <c r="L13" i="1" a="1"/>
  <c r="Z14" i="1" a="1"/>
  <c r="J13" i="1" a="1"/>
  <c r="H13" i="1" a="1"/>
  <c r="I13" i="1" a="1"/>
  <c r="Z14" i="1" l="1"/>
  <c r="Y16" i="1"/>
  <c r="X15" i="1"/>
  <c r="K13" i="1"/>
  <c r="J13" i="1"/>
  <c r="I13" i="1"/>
  <c r="H13" i="1"/>
  <c r="L13" i="1"/>
  <c r="K25" i="1" a="1"/>
  <c r="I14" i="1" a="1"/>
  <c r="J25" i="1" a="1"/>
  <c r="L14" i="1" a="1"/>
  <c r="I25" i="1" a="1"/>
  <c r="K14" i="1" a="1"/>
  <c r="Z15" i="1" a="1"/>
  <c r="L25" i="1" a="1"/>
  <c r="H25" i="1" a="1"/>
  <c r="J14" i="1" a="1"/>
  <c r="H14" i="1" a="1"/>
  <c r="Z15" i="1" l="1"/>
  <c r="Y17" i="1"/>
  <c r="X16" i="1"/>
  <c r="L25" i="1"/>
  <c r="K25" i="1"/>
  <c r="H25" i="1"/>
  <c r="J25" i="1"/>
  <c r="I25" i="1"/>
  <c r="J14" i="1"/>
  <c r="I14" i="1"/>
  <c r="H14" i="1"/>
  <c r="L14" i="1"/>
  <c r="K14" i="1"/>
  <c r="Z16" i="1" a="1"/>
  <c r="L15" i="1" a="1"/>
  <c r="I26" i="1" a="1"/>
  <c r="H26" i="1" a="1"/>
  <c r="H15" i="1" a="1"/>
  <c r="J15" i="1" a="1"/>
  <c r="I15" i="1" a="1"/>
  <c r="L26" i="1" a="1"/>
  <c r="J26" i="1" a="1"/>
  <c r="K15" i="1" a="1"/>
  <c r="K26" i="1" a="1"/>
  <c r="Z16" i="1" l="1"/>
  <c r="Y18" i="1"/>
  <c r="X17" i="1"/>
  <c r="K26" i="1"/>
  <c r="J26" i="1"/>
  <c r="I26" i="1"/>
  <c r="H26" i="1"/>
  <c r="L26" i="1"/>
  <c r="J15" i="1"/>
  <c r="I15" i="1"/>
  <c r="H15" i="1"/>
  <c r="L15" i="1"/>
  <c r="K15" i="1"/>
  <c r="H16" i="1" a="1"/>
  <c r="I16" i="1" a="1"/>
  <c r="J16" i="1" a="1"/>
  <c r="Z17" i="1" a="1"/>
  <c r="L27" i="1" a="1"/>
  <c r="H27" i="1" a="1"/>
  <c r="K16" i="1" a="1"/>
  <c r="K27" i="1" a="1"/>
  <c r="J27" i="1" a="1"/>
  <c r="L16" i="1" a="1"/>
  <c r="I27" i="1" a="1"/>
  <c r="Z17" i="1" l="1"/>
  <c r="Y19" i="1"/>
  <c r="X18" i="1"/>
  <c r="K27" i="1"/>
  <c r="L27" i="1"/>
  <c r="J27" i="1"/>
  <c r="H27" i="1"/>
  <c r="I27" i="1"/>
  <c r="J16" i="1"/>
  <c r="I16" i="1"/>
  <c r="K16" i="1"/>
  <c r="H16" i="1"/>
  <c r="L16" i="1"/>
  <c r="Z18" i="1" a="1"/>
  <c r="I28" i="1" a="1"/>
  <c r="J17" i="1" a="1"/>
  <c r="L17" i="1" a="1"/>
  <c r="L28" i="1" a="1"/>
  <c r="J28" i="1" a="1"/>
  <c r="H17" i="1" a="1"/>
  <c r="H28" i="1" a="1"/>
  <c r="I17" i="1" a="1"/>
  <c r="K17" i="1" a="1"/>
  <c r="K28" i="1" a="1"/>
  <c r="Z18" i="1" l="1"/>
  <c r="Y20" i="1"/>
  <c r="X19" i="1"/>
  <c r="K28" i="1"/>
  <c r="H28" i="1"/>
  <c r="J28" i="1"/>
  <c r="I28" i="1"/>
  <c r="L28" i="1"/>
  <c r="L17" i="1"/>
  <c r="J17" i="1"/>
  <c r="I17" i="1"/>
  <c r="H17" i="1"/>
  <c r="K17" i="1"/>
  <c r="Z19" i="1" a="1"/>
  <c r="J29" i="1" a="1"/>
  <c r="K18" i="1" a="1"/>
  <c r="I29" i="1" a="1"/>
  <c r="L18" i="1" a="1"/>
  <c r="I18" i="1" a="1"/>
  <c r="L29" i="1" a="1"/>
  <c r="K29" i="1" a="1"/>
  <c r="H29" i="1" a="1"/>
  <c r="H18" i="1" a="1"/>
  <c r="J18" i="1" a="1"/>
  <c r="Z19" i="1" l="1"/>
  <c r="Y21" i="1"/>
  <c r="X20" i="1"/>
  <c r="K29" i="1"/>
  <c r="J29" i="1"/>
  <c r="H29" i="1"/>
  <c r="L29" i="1"/>
  <c r="I29" i="1"/>
  <c r="J18" i="1"/>
  <c r="I18" i="1"/>
  <c r="H18" i="1"/>
  <c r="L18" i="1"/>
  <c r="K18" i="1"/>
  <c r="I19" i="1" a="1"/>
  <c r="Z20" i="1" a="1"/>
  <c r="H19" i="1" a="1"/>
  <c r="J30" i="1" a="1"/>
  <c r="L30" i="1" a="1"/>
  <c r="K19" i="1" a="1"/>
  <c r="L20" i="1" a="1"/>
  <c r="H20" i="1" a="1"/>
  <c r="J20" i="1" a="1"/>
  <c r="L19" i="1" a="1"/>
  <c r="H30" i="1" a="1"/>
  <c r="K20" i="1" a="1"/>
  <c r="I30" i="1" a="1"/>
  <c r="K30" i="1" a="1"/>
  <c r="I20" i="1" a="1"/>
  <c r="J19" i="1" a="1"/>
  <c r="Z20" i="1" l="1"/>
  <c r="Y22" i="1"/>
  <c r="X21" i="1"/>
  <c r="K30" i="1"/>
  <c r="J30" i="1"/>
  <c r="I30" i="1"/>
  <c r="H30" i="1"/>
  <c r="L30" i="1"/>
  <c r="J20" i="1"/>
  <c r="I20" i="1"/>
  <c r="K20" i="1"/>
  <c r="H20" i="1"/>
  <c r="L20" i="1"/>
  <c r="J19" i="1"/>
  <c r="I19" i="1"/>
  <c r="K19" i="1"/>
  <c r="H19" i="1"/>
  <c r="L19" i="1"/>
  <c r="Z21" i="1" a="1"/>
  <c r="H31" i="1" a="1"/>
  <c r="J31" i="1" a="1"/>
  <c r="I31" i="1" a="1"/>
  <c r="L31" i="1" a="1"/>
  <c r="K31" i="1" a="1"/>
  <c r="Z21" i="1" l="1"/>
  <c r="Y23" i="1"/>
  <c r="X22" i="1"/>
  <c r="L31" i="1"/>
  <c r="K31" i="1"/>
  <c r="H31" i="1"/>
  <c r="J31" i="1"/>
  <c r="I31" i="1"/>
  <c r="Z22" i="1" a="1"/>
  <c r="J32" i="1" a="1"/>
  <c r="H32" i="1" a="1"/>
  <c r="I32" i="1" a="1"/>
  <c r="L32" i="1" a="1"/>
  <c r="K32" i="1" a="1"/>
  <c r="Z22" i="1" l="1"/>
  <c r="Y24" i="1"/>
  <c r="X23" i="1"/>
  <c r="K32" i="1"/>
  <c r="J32" i="1"/>
  <c r="H32" i="1"/>
  <c r="I32" i="1"/>
  <c r="L32" i="1"/>
  <c r="H33" i="1" a="1"/>
  <c r="L33" i="1" a="1"/>
  <c r="J33" i="1" a="1"/>
  <c r="Z23" i="1" a="1"/>
  <c r="K33" i="1" a="1"/>
  <c r="I33" i="1" a="1"/>
  <c r="Z23" i="1" l="1"/>
  <c r="Y25" i="1"/>
  <c r="X24" i="1"/>
  <c r="K33" i="1"/>
  <c r="J33" i="1"/>
  <c r="I33" i="1"/>
  <c r="H33" i="1"/>
  <c r="L33" i="1"/>
  <c r="J34" i="1" a="1"/>
  <c r="L34" i="1" a="1"/>
  <c r="K34" i="1" a="1"/>
  <c r="H34" i="1" a="1"/>
  <c r="Z24" i="1" a="1"/>
  <c r="I34" i="1" a="1"/>
  <c r="Z24" i="1" l="1"/>
  <c r="Y26" i="1"/>
  <c r="X25" i="1"/>
  <c r="K34" i="1"/>
  <c r="H34" i="1"/>
  <c r="J34" i="1"/>
  <c r="I34" i="1"/>
  <c r="L34" i="1"/>
  <c r="H35" i="1" a="1"/>
  <c r="I35" i="1" a="1"/>
  <c r="L35" i="1" a="1"/>
  <c r="K35" i="1" a="1"/>
  <c r="Z25" i="1" a="1"/>
  <c r="J35" i="1" a="1"/>
  <c r="Z25" i="1" l="1"/>
  <c r="Y27" i="1"/>
  <c r="X26" i="1"/>
  <c r="L35" i="1"/>
  <c r="K35" i="1"/>
  <c r="J35" i="1"/>
  <c r="H35" i="1"/>
  <c r="I35" i="1"/>
  <c r="J36" i="1" a="1"/>
  <c r="Z26" i="1" a="1"/>
  <c r="H36" i="1" a="1"/>
  <c r="K36" i="1" a="1"/>
  <c r="L36" i="1" a="1"/>
  <c r="I36" i="1" a="1"/>
  <c r="Z26" i="1" l="1"/>
  <c r="Y28" i="1"/>
  <c r="X27" i="1"/>
  <c r="K36" i="1"/>
  <c r="J36" i="1"/>
  <c r="H36" i="1"/>
  <c r="I36" i="1"/>
  <c r="L36" i="1"/>
  <c r="I38" i="1" a="1"/>
  <c r="K38" i="1" a="1"/>
  <c r="H38" i="1" a="1"/>
  <c r="Z27" i="1" a="1"/>
  <c r="L38" i="1" a="1"/>
  <c r="J38" i="1" a="1"/>
  <c r="Z27" i="1" l="1"/>
  <c r="Y29" i="1"/>
  <c r="X28" i="1"/>
  <c r="K38" i="1"/>
  <c r="H38" i="1"/>
  <c r="J38" i="1"/>
  <c r="I38" i="1"/>
  <c r="L38" i="1"/>
  <c r="Z28" i="1" a="1"/>
  <c r="Z28" i="1" l="1"/>
  <c r="Y30" i="1"/>
  <c r="X29" i="1"/>
  <c r="Z29" i="1" a="1"/>
  <c r="Z29" i="1" l="1"/>
  <c r="Y31" i="1"/>
  <c r="X30" i="1"/>
  <c r="Z30" i="1" a="1"/>
  <c r="Z30" i="1" l="1"/>
  <c r="Y32" i="1"/>
  <c r="X31" i="1"/>
  <c r="Z31" i="1" a="1"/>
  <c r="Z31" i="1" l="1"/>
  <c r="Y33" i="1"/>
  <c r="X32" i="1"/>
  <c r="Z32" i="1" a="1"/>
  <c r="Z32" i="1" l="1"/>
  <c r="Y34" i="1"/>
  <c r="X33" i="1"/>
  <c r="Z33" i="1" a="1"/>
  <c r="Z33" i="1" l="1"/>
  <c r="Y35" i="1"/>
  <c r="X34" i="1"/>
  <c r="Z34" i="1" a="1"/>
  <c r="Z34" i="1" l="1"/>
  <c r="Y36" i="1"/>
  <c r="X35" i="1"/>
  <c r="Z35" i="1" a="1"/>
  <c r="Z35" i="1" l="1"/>
  <c r="Y37" i="1"/>
  <c r="X36" i="1"/>
  <c r="Z36" i="1" a="1"/>
  <c r="Z36" i="1" l="1"/>
  <c r="Y38" i="1"/>
  <c r="X37" i="1"/>
  <c r="Z37" i="1" a="1"/>
  <c r="Z37" i="1" l="1"/>
  <c r="Y39" i="1"/>
  <c r="X38" i="1"/>
  <c r="Z38" i="1" a="1"/>
  <c r="Z38" i="1" l="1"/>
  <c r="Y40" i="1"/>
  <c r="X39" i="1"/>
  <c r="Z39" i="1" a="1"/>
  <c r="Z39" i="1" l="1"/>
  <c r="Y41" i="1"/>
  <c r="X40" i="1"/>
  <c r="Z40" i="1" a="1"/>
  <c r="Z40" i="1" l="1"/>
  <c r="Y42" i="1"/>
  <c r="X41" i="1"/>
  <c r="Z41" i="1" a="1"/>
  <c r="Z41" i="1" l="1"/>
  <c r="Y43" i="1"/>
  <c r="X42" i="1"/>
  <c r="Z42" i="1" a="1"/>
  <c r="Z42" i="1" l="1"/>
  <c r="Y44" i="1"/>
  <c r="X43" i="1"/>
  <c r="Z43" i="1" a="1"/>
  <c r="Z43" i="1" l="1"/>
  <c r="Y45" i="1"/>
  <c r="X44" i="1"/>
  <c r="Z44" i="1" a="1"/>
  <c r="Z44" i="1" l="1"/>
  <c r="Y46" i="1"/>
  <c r="X45" i="1"/>
  <c r="Z45" i="1" a="1"/>
  <c r="Z45" i="1" l="1"/>
  <c r="Y47" i="1"/>
  <c r="X46" i="1"/>
  <c r="Z46" i="1" a="1"/>
  <c r="Z46" i="1" l="1"/>
  <c r="Y48" i="1"/>
  <c r="X47" i="1"/>
  <c r="Z47" i="1" a="1"/>
  <c r="Z47" i="1" l="1"/>
  <c r="Y49" i="1"/>
  <c r="X48" i="1"/>
  <c r="Z48" i="1" a="1"/>
  <c r="Z48" i="1" l="1"/>
  <c r="Y50" i="1"/>
  <c r="X49" i="1"/>
  <c r="Z49" i="1" a="1"/>
  <c r="Z49" i="1" l="1"/>
  <c r="Y51" i="1"/>
  <c r="X50" i="1"/>
  <c r="Z50" i="1" a="1"/>
  <c r="Z50" i="1" l="1"/>
  <c r="Y52" i="1"/>
  <c r="X51" i="1"/>
  <c r="Z51" i="1" a="1"/>
  <c r="Z51" i="1" l="1"/>
  <c r="Y53" i="1"/>
  <c r="X52" i="1"/>
  <c r="Z52" i="1" a="1"/>
  <c r="Z52" i="1" l="1"/>
  <c r="Y54" i="1"/>
  <c r="X53" i="1"/>
  <c r="Z53" i="1" a="1"/>
  <c r="Z53" i="1" l="1"/>
  <c r="Y55" i="1"/>
  <c r="X54" i="1"/>
  <c r="Z54" i="1" a="1"/>
  <c r="Z54" i="1" l="1"/>
  <c r="Y56" i="1"/>
  <c r="X55" i="1"/>
  <c r="Z55" i="1" a="1"/>
  <c r="Z55" i="1" l="1"/>
  <c r="Y57" i="1"/>
  <c r="X56" i="1"/>
  <c r="Z56" i="1" a="1"/>
  <c r="Z56" i="1" l="1"/>
  <c r="Y58" i="1"/>
  <c r="X58" i="1" s="1"/>
  <c r="X57" i="1"/>
  <c r="Z58" i="1" a="1"/>
  <c r="Z57" i="1" a="1"/>
  <c r="Z57" i="1" l="1"/>
  <c r="Z5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<sst xmlns="http://schemas.openxmlformats.org/spreadsheetml/2006/main" count="107" uniqueCount="98">
  <si>
    <t>Value</t>
  </si>
  <si>
    <t>http://localhost:8200</t>
  </si>
  <si>
    <t>Server</t>
  </si>
  <si>
    <t>name</t>
  </si>
  <si>
    <t>value</t>
  </si>
  <si>
    <t>username</t>
  </si>
  <si>
    <t>date</t>
  </si>
  <si>
    <t>User</t>
  </si>
  <si>
    <t>rjp</t>
  </si>
  <si>
    <t>Timer</t>
  </si>
  <si>
    <t>Connction Handle</t>
  </si>
  <si>
    <t>Individual Datum</t>
  </si>
  <si>
    <t>EUR-OIS-1M</t>
  </si>
  <si>
    <t>EUR-OIS-2M</t>
  </si>
  <si>
    <t>EUR-OIS-3M</t>
  </si>
  <si>
    <t>EUR-OIS-6M</t>
  </si>
  <si>
    <t>EUR-OIS-1Y</t>
  </si>
  <si>
    <t>EUR-OIS-2Y</t>
  </si>
  <si>
    <t>EUR-OIS-3Y</t>
  </si>
  <si>
    <t>EUR-OIS-4Y</t>
  </si>
  <si>
    <t>EUR-OIS-5Y</t>
  </si>
  <si>
    <t>EUR-OIS-7Y</t>
  </si>
  <si>
    <t>EUR-OIS-10Y</t>
  </si>
  <si>
    <t>EUR-OIS-15Y</t>
  </si>
  <si>
    <t>EUR-OIS-20Y</t>
  </si>
  <si>
    <t>EUR-OIS-30Y</t>
  </si>
  <si>
    <t>EUR-FIX-EURIBOR3M</t>
  </si>
  <si>
    <t>EUR-FRA-3Mx6M</t>
  </si>
  <si>
    <t>EUR-BS3M6M-1Y</t>
  </si>
  <si>
    <t>EUR-BS3M6M-2Y</t>
  </si>
  <si>
    <t>EUR-BS3M6M-3Y</t>
  </si>
  <si>
    <t>EUR-BS3M6M-4Y</t>
  </si>
  <si>
    <t>EUR-BS3M6M-5Y</t>
  </si>
  <si>
    <t>EUR-BS3M6M-7Y</t>
  </si>
  <si>
    <t>EUR-BS3M6M-10Y</t>
  </si>
  <si>
    <t>EUR-BS3M6M-15Y</t>
  </si>
  <si>
    <t>EUR-BS3M6M-20Y</t>
  </si>
  <si>
    <t>EUR-BS3M6M-30Y</t>
  </si>
  <si>
    <t>EUR-FIX-EURIBOR6M</t>
  </si>
  <si>
    <t>EUR-FRA-6Mx12M</t>
  </si>
  <si>
    <t>EUR-IRS6M-2Y</t>
  </si>
  <si>
    <t>EUR-IRS6M-3Y</t>
  </si>
  <si>
    <t>EUR-IRS6M-4Y</t>
  </si>
  <si>
    <t>EUR-IRS6M-5Y</t>
  </si>
  <si>
    <t>EUR-IRS6M-7Y</t>
  </si>
  <si>
    <t>EUR-IRS6M-10Y</t>
  </si>
  <si>
    <t>EUR-IRS6M-15Y</t>
  </si>
  <si>
    <t>EUR-IRS6M-20Y</t>
  </si>
  <si>
    <t>EUR-IRS6M-30Y</t>
  </si>
  <si>
    <t>EUSWEA</t>
  </si>
  <si>
    <t>EUSWEB</t>
  </si>
  <si>
    <t>EUSWEC</t>
  </si>
  <si>
    <t>EUSWEF</t>
  </si>
  <si>
    <t>EUSWE1</t>
  </si>
  <si>
    <t>EUSWE2</t>
  </si>
  <si>
    <t>EUSWE3</t>
  </si>
  <si>
    <t>EUSWE4</t>
  </si>
  <si>
    <t>EUSWE5</t>
  </si>
  <si>
    <t>EUSWE7</t>
  </si>
  <si>
    <t>EUSWE10</t>
  </si>
  <si>
    <t>EUSWE15</t>
  </si>
  <si>
    <t>EUSWE20</t>
  </si>
  <si>
    <t>EUSWE30</t>
  </si>
  <si>
    <t>EUR003M</t>
  </si>
  <si>
    <t>EUSAC0C</t>
  </si>
  <si>
    <t>EUBSV1</t>
  </si>
  <si>
    <t>EUBSV2</t>
  </si>
  <si>
    <t>EUBSV3</t>
  </si>
  <si>
    <t>EUBSV4</t>
  </si>
  <si>
    <t>EUBSV5</t>
  </si>
  <si>
    <t>EUBSV7</t>
  </si>
  <si>
    <t>EUBSV10</t>
  </si>
  <si>
    <t>EUBSV15</t>
  </si>
  <si>
    <t>EUBSV20</t>
  </si>
  <si>
    <t>EUBSV30</t>
  </si>
  <si>
    <t>EUR006M</t>
  </si>
  <si>
    <t>EUSAF0F</t>
  </si>
  <si>
    <t>EUSA2</t>
  </si>
  <si>
    <t>EUSA3</t>
  </si>
  <si>
    <t>EUSA4</t>
  </si>
  <si>
    <t>EUSA5</t>
  </si>
  <si>
    <t>EUSA7</t>
  </si>
  <si>
    <t>EUSA10</t>
  </si>
  <si>
    <t>EUSA15</t>
  </si>
  <si>
    <t>EUSA20</t>
  </si>
  <si>
    <t>EUSA30</t>
  </si>
  <si>
    <t>Bloomberg</t>
  </si>
  <si>
    <t>Strada</t>
  </si>
  <si>
    <t>Inputs Handle</t>
  </si>
  <si>
    <t>Cooked Handle</t>
  </si>
  <si>
    <t>ycf</t>
  </si>
  <si>
    <t>Scale</t>
  </si>
  <si>
    <t>BBG</t>
  </si>
  <si>
    <t>Rand()</t>
  </si>
  <si>
    <t>All Input Data</t>
  </si>
  <si>
    <t>All Cooked Data</t>
  </si>
  <si>
    <t>Chart Data</t>
  </si>
  <si>
    <t>http://orac.uksouth.cloudapp.azure.com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</si>
</sst>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1" fillId="2" borderId="0" xfId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Sheet1!$Z$8</c:f>
              <c:strCache>
                <c:ptCount val="1"/>
                <c:pt idx="0">
                  <c:v>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Sheet1!$Y$9:$Y$58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Sheet1!$Z$9:$Z$58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0C-45C7-A99A-9C271074B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449663"/>
        <c:axId val="2078368591"/>
      </c:scatterChart>
      <c:valAx>
        <c:axId val="506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8368591"/>
        <c:crosses val="autoZero"/>
        <c:crossBetween val="midCat"/>
      </c:valAx>
      <c:valAx>
        <c:axId val="2078368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952499</xdr:colOff>
      <xdr:row>12</xdr:row>
      <xdr:rowOff>114299</xdr:rowOff>
    </xdr:from>
    <xdr:to>
      <xdr:col>16</xdr:col>
      <xdr:colOff>295274</xdr:colOff>
      <xdr:row>42</xdr:row>
      <xdr:rowOff>180974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E92A158-517A-4E9D-B71F-517203B740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localhost:8200/" TargetMode="External"/><Relationship Id="rId1" Type="http://schemas.openxmlformats.org/officeDocument/2006/relationships/hyperlink" Target="http://localhost:8200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EBDF5-7951-48F9-804A-9AF05785FF2C}">
  <sheetPr codeName="Sheet1"/>
  <dimension ref="B1:Z65"/>
  <sheetViews>
    <sheetView tabSelected="1" workbookViewId="0">
      <selection activeCell="I1" sqref="I1"/>
    </sheetView>
  </sheetViews>
  <sheetFormatPr defaultRowHeight="15" x14ac:dyDescent="0.25"/>
  <cols>
    <col min="2" max="2" width="10.7109375" bestFit="1" customWidth="1"/>
    <col min="3" max="3" width="19.28515625" bestFit="1" customWidth="1"/>
    <col min="4" max="4" width="9.7109375" style="6" bestFit="1" customWidth="1"/>
    <col min="5" max="5" width="12" style="6" bestFit="1" customWidth="1"/>
    <col min="6" max="6" width="5.5703125" style="6" bestFit="1" customWidth="1"/>
    <col min="7" max="7" width="7.7109375" style="6" bestFit="1" customWidth="1"/>
    <col min="8" max="8" width="50.42578125" style="6" bestFit="1" customWidth="1"/>
    <col min="9" max="9" width="19.28515625" style="1" bestFit="1" customWidth="1"/>
    <col min="10" max="10" width="9.140625" style="1"/>
    <col min="11" max="11" width="18.5703125" style="1" bestFit="1" customWidth="1"/>
    <col min="12" max="12" width="9.85546875" style="1" bestFit="1" customWidth="1"/>
    <col min="14" max="14" width="19.28515625" style="3" bestFit="1" customWidth="1"/>
    <col min="15" max="15" width="9.7109375" style="3" bestFit="1" customWidth="1"/>
    <col min="16" max="16" width="18.5703125" style="1" bestFit="1" customWidth="1"/>
    <col min="17" max="17" width="9.85546875" style="1" bestFit="1" customWidth="1"/>
    <col min="20" max="20" width="9.28515625" bestFit="1" customWidth="1"/>
    <col min="21" max="21" width="18.5703125" bestFit="1" customWidth="1"/>
    <col min="24" max="26" width="9.140625" style="6"/>
  </cols>
  <sheetData>
    <row r="1" spans="2:26" x14ac:dyDescent="0.25">
      <c r="C1" s="6" t="s">
        <v>2</v>
      </c>
      <c r="H1" s="9" t="s">
        <v>97</v>
      </c>
      <c r="I1" s="6" t="s">
        <v>1</v>
      </c>
    </row>
    <row r="2" spans="2:26" x14ac:dyDescent="0.25">
      <c r="C2" s="6" t="s">
        <v>7</v>
      </c>
      <c r="H2" s="5" t="s">
        <v>8</v>
      </c>
      <c r="J2" s="6"/>
    </row>
    <row r="3" spans="2:26" x14ac:dyDescent="0.25">
      <c r="C3" s="6" t="s">
        <v>10</v>
      </c>
      <c r="H3" s="8" t="e" cm="1">
        <f t="array" ref="H3" ca="1">_xll.OracConnect(H1)</f>
        <v>#NAME?</v>
      </c>
    </row>
    <row r="4" spans="2:26" x14ac:dyDescent="0.25">
      <c r="C4" s="7" t="s">
        <v>88</v>
      </c>
      <c r="E4" s="7"/>
      <c r="F4" s="7"/>
      <c r="G4" s="7"/>
      <c r="H4" s="4" t="e" cm="1">
        <f t="array" ref="H4" ca="1">_xll.OracCurve(H3,"inputs")</f>
        <v>#NAME?</v>
      </c>
      <c r="N4" s="7"/>
    </row>
    <row r="5" spans="2:26" x14ac:dyDescent="0.25">
      <c r="C5" s="7" t="s">
        <v>89</v>
      </c>
      <c r="E5" s="7"/>
      <c r="F5" s="7"/>
      <c r="G5" s="7"/>
      <c r="H5" s="4" t="e" cm="1">
        <f t="array" aca="1" ref="H5" ca="1">_xll.OracCurve(H4,"cooked")</f>
        <v>#NAME?</v>
      </c>
      <c r="I5" s="6"/>
      <c r="J5" s="6"/>
      <c r="K5" s="6"/>
      <c r="L5" s="6"/>
      <c r="N5" s="7"/>
      <c r="O5" s="7"/>
      <c r="P5" s="6"/>
      <c r="Q5" s="6"/>
    </row>
    <row r="6" spans="2:26" x14ac:dyDescent="0.25">
      <c r="C6" s="6" t="s">
        <v>9</v>
      </c>
      <c r="H6" s="6" t="e" cm="1">
        <f t="array" ref="H6" ca="1">_xll.OracTime()</f>
        <v>#NAME?</v>
      </c>
    </row>
    <row r="7" spans="2:26" x14ac:dyDescent="0.25">
      <c r="I7" s="12" t="s">
        <v>11</v>
      </c>
      <c r="J7" s="12"/>
      <c r="K7" s="12"/>
      <c r="L7" s="12"/>
      <c r="N7" s="13" t="s">
        <v>94</v>
      </c>
      <c r="O7" s="13"/>
      <c r="P7" s="13"/>
      <c r="Q7" s="13"/>
      <c r="S7" s="13" t="s">
        <v>95</v>
      </c>
      <c r="T7" s="13"/>
      <c r="U7" s="13"/>
      <c r="V7" s="13"/>
      <c r="X7" s="13" t="s">
        <v>96</v>
      </c>
      <c r="Y7" s="13"/>
      <c r="Z7" s="13"/>
    </row>
    <row r="8" spans="2:26" x14ac:dyDescent="0.25">
      <c r="B8" t="s">
        <v>86</v>
      </c>
      <c r="C8" t="s">
        <v>87</v>
      </c>
      <c r="D8" s="6" t="s">
        <v>0</v>
      </c>
      <c r="E8" s="6" t="s">
        <v>93</v>
      </c>
      <c r="F8" s="6" t="s">
        <v>91</v>
      </c>
      <c r="G8" s="6" t="s">
        <v>92</v>
      </c>
      <c r="I8" s="10" t="s">
        <v>3</v>
      </c>
      <c r="J8" s="10" t="s">
        <v>4</v>
      </c>
      <c r="K8" s="10" t="s">
        <v>6</v>
      </c>
      <c r="L8" s="10" t="s">
        <v>5</v>
      </c>
      <c r="N8" s="10" t="s">
        <v>3</v>
      </c>
      <c r="O8" s="10" t="s">
        <v>4</v>
      </c>
      <c r="P8" s="10" t="s">
        <v>6</v>
      </c>
      <c r="Q8" s="10" t="s">
        <v>5</v>
      </c>
      <c r="S8" s="11" t="s">
        <v>3</v>
      </c>
      <c r="T8" s="11" t="s">
        <v>4</v>
      </c>
      <c r="U8" s="11" t="s">
        <v>6</v>
      </c>
      <c r="V8" s="11" t="s">
        <v>5</v>
      </c>
      <c r="X8" s="11"/>
      <c r="Y8" s="11" t="s">
        <v>90</v>
      </c>
      <c r="Z8" s="11" t="s">
        <v>4</v>
      </c>
    </row>
    <row r="9" spans="2:26" x14ac:dyDescent="0.25">
      <c r="D9"/>
      <c r="E9"/>
      <c r="F9"/>
      <c r="G9"/>
      <c r="K9" s="2"/>
      <c r="L9" s="2"/>
      <c r="N9" s="7" t="e">
        <f t="array" aca="1" ref="N9:Q48" ca="1">_xll.OracCurveAllValues(H4)</f>
        <v>#NAME?</v>
      </c>
      <c r="O9" s="3" t="e">
        <f ca="1"/>
        <v>#NAME?</v>
      </c>
      <c r="P9" s="2" t="e">
        <f ca="1"/>
        <v>#NAME?</v>
      </c>
      <c r="Q9" s="1" t="e">
        <f ca="1"/>
        <v>#NAME?</v>
      </c>
      <c r="R9" s="7"/>
      <c r="S9" s="7" t="e">
        <f t="array" aca="1" ref="S9:V65" ca="1">_xll.OracCurveAllValues(H5)</f>
        <v>#NAME?</v>
      </c>
      <c r="T9" s="7" t="e">
        <f ca="1"/>
        <v>#NAME?</v>
      </c>
      <c r="U9" s="2" t="e">
        <f ca="1"/>
        <v>#NAME?</v>
      </c>
      <c r="V9" s="6" t="e">
        <f ca="1"/>
        <v>#NAME?</v>
      </c>
      <c r="X9" s="6" t="str">
        <f t="shared" ref="X9:X40" si="0">Y9&amp;"Y"</f>
        <v>1Y</v>
      </c>
      <c r="Y9" s="6">
        <v>1</v>
      </c>
      <c r="Z9" s="6" t="e" cm="1">
        <f t="array" aca="1" ref="Z9" ca="1">_xll.OracCurvePoint($H$5,$X9,Z$8)</f>
        <v>#NAME?</v>
      </c>
    </row>
    <row r="10" spans="2:26" x14ac:dyDescent="0.25">
      <c r="B10" t="s">
        <v>49</v>
      </c>
      <c r="C10" t="s">
        <v>12</v>
      </c>
      <c r="D10" s="6">
        <f>(G10/F10)+E10</f>
        <v>-0.47499999999999998</v>
      </c>
      <c r="F10" s="5">
        <v>1</v>
      </c>
      <c r="G10" s="5">
        <v>-0.47499999999999998</v>
      </c>
      <c r="H10" s="6" t="e" cm="1">
        <f t="array" aca="1" ref="H10" ca="1">_xll.OracPublish(H$3,C10,D10,H$2)</f>
        <v>#NAME?</v>
      </c>
      <c r="I10" s="1" t="e" cm="1">
        <f t="array" aca="1" ref="I10" ca="1">_xll.OracCurvePoint($H$4,$C10,I$8)</f>
        <v>#NAME?</v>
      </c>
      <c r="J10" s="1" t="e" cm="1">
        <f t="array" aca="1" ref="J10" ca="1">_xll.OracCurvePoint($H$4,$C10,J$8)</f>
        <v>#NAME?</v>
      </c>
      <c r="K10" s="2" t="e" cm="1">
        <f t="array" aca="1" ref="K10" ca="1">_xll.OracCurvePoint($H$4,$C10,K$8)</f>
        <v>#NAME?</v>
      </c>
      <c r="L10" s="2" t="e" cm="1">
        <f t="array" aca="1" ref="L10" ca="1">_xll.OracCurvePoint($H$4,$C10,L$8)</f>
        <v>#NAME?</v>
      </c>
      <c r="N10" s="3" t="e">
        <f ca="1"/>
        <v>#NAME?</v>
      </c>
      <c r="O10" s="3" t="e">
        <f ca="1"/>
        <v>#NAME?</v>
      </c>
      <c r="P10" s="2" t="e">
        <f ca="1"/>
        <v>#NAME?</v>
      </c>
      <c r="Q10" s="1" t="e">
        <f ca="1"/>
        <v>#NAME?</v>
      </c>
      <c r="S10" s="7" t="e">
        <f ca="1"/>
        <v>#NAME?</v>
      </c>
      <c r="T10" s="7" t="e">
        <f ca="1"/>
        <v>#NAME?</v>
      </c>
      <c r="U10" s="2" t="e">
        <f ca="1"/>
        <v>#NAME?</v>
      </c>
      <c r="V10" s="6" t="e">
        <f ca="1"/>
        <v>#NAME?</v>
      </c>
      <c r="X10" s="6" t="str">
        <f t="shared" si="0"/>
        <v>2Y</v>
      </c>
      <c r="Y10" s="6">
        <f>Y9+1</f>
        <v>2</v>
      </c>
      <c r="Z10" s="6" t="e" cm="1">
        <f t="array" aca="1" ref="Z10" ca="1">_xll.OracCurvePoint($H$5,$X10,Z$8)</f>
        <v>#NAME?</v>
      </c>
    </row>
    <row r="11" spans="2:26" x14ac:dyDescent="0.25">
      <c r="B11" t="s">
        <v>50</v>
      </c>
      <c r="C11" t="s">
        <v>13</v>
      </c>
      <c r="D11" s="6">
        <f t="shared" ref="D11:D48" si="1">(G11/F11)+E11</f>
        <v>-0.48099999999999998</v>
      </c>
      <c r="E11" s="6">
        <v>0</v>
      </c>
      <c r="F11" s="5">
        <v>1</v>
      </c>
      <c r="G11" s="5">
        <v>-0.48099999999999998</v>
      </c>
      <c r="H11" s="6" t="e" cm="1">
        <f t="array" aca="1" ref="H11" ca="1">_xll.OracPublish(H$3,C11,D11,H$2)</f>
        <v>#NAME?</v>
      </c>
      <c r="I11" s="1" t="e" cm="1">
        <f t="array" aca="1" ref="I11" ca="1">_xll.OracCurvePoint($H$4,$C11,I$8)</f>
        <v>#NAME?</v>
      </c>
      <c r="J11" s="1" t="e" cm="1">
        <f t="array" aca="1" ref="J11" ca="1">_xll.OracCurvePoint($H$4,$C11,J$8)</f>
        <v>#NAME?</v>
      </c>
      <c r="K11" s="2" t="e" cm="1">
        <f t="array" aca="1" ref="K11" ca="1">_xll.OracCurvePoint($H$4,$C11,K$8)</f>
        <v>#NAME?</v>
      </c>
      <c r="L11" s="2" t="e" cm="1">
        <f t="array" aca="1" ref="L11" ca="1">_xll.OracCurvePoint($H$4,$C11,L$8)</f>
        <v>#NAME?</v>
      </c>
      <c r="N11" s="3" t="e">
        <f ca="1"/>
        <v>#NAME?</v>
      </c>
      <c r="O11" s="3" t="e">
        <f ca="1"/>
        <v>#NAME?</v>
      </c>
      <c r="P11" s="2" t="e">
        <f ca="1"/>
        <v>#NAME?</v>
      </c>
      <c r="Q11" s="1" t="e">
        <f ca="1"/>
        <v>#NAME?</v>
      </c>
      <c r="S11" s="7" t="e">
        <f ca="1"/>
        <v>#NAME?</v>
      </c>
      <c r="T11" s="7" t="e">
        <f ca="1"/>
        <v>#NAME?</v>
      </c>
      <c r="U11" s="2" t="e">
        <f ca="1"/>
        <v>#NAME?</v>
      </c>
      <c r="V11" s="6" t="e">
        <f ca="1"/>
        <v>#NAME?</v>
      </c>
      <c r="X11" s="6" t="str">
        <f t="shared" si="0"/>
        <v>3Y</v>
      </c>
      <c r="Y11" s="6">
        <f t="shared" ref="Y11:Y58" si="2">Y10+1</f>
        <v>3</v>
      </c>
      <c r="Z11" s="6" t="e" cm="1">
        <f t="array" aca="1" ref="Z11" ca="1">_xll.OracCurvePoint($H$5,$X11,Z$8)</f>
        <v>#NAME?</v>
      </c>
    </row>
    <row r="12" spans="2:26" x14ac:dyDescent="0.25">
      <c r="B12" t="s">
        <v>51</v>
      </c>
      <c r="C12" t="s">
        <v>14</v>
      </c>
      <c r="D12" s="6">
        <f t="shared" si="1"/>
        <v>-0.48299999999999998</v>
      </c>
      <c r="E12" s="6">
        <v>0</v>
      </c>
      <c r="F12" s="5">
        <v>1</v>
      </c>
      <c r="G12" s="5">
        <v>-0.48299999999999998</v>
      </c>
      <c r="H12" s="6" t="e" cm="1">
        <f t="array" aca="1" ref="H12" ca="1">_xll.OracPublish(H$3,C12,D12,H$2)</f>
        <v>#NAME?</v>
      </c>
      <c r="I12" s="1" t="e" cm="1">
        <f t="array" aca="1" ref="I12" ca="1">_xll.OracCurvePoint($H$4,$C12,I$8)</f>
        <v>#NAME?</v>
      </c>
      <c r="J12" s="1" t="e" cm="1">
        <f t="array" aca="1" ref="J12" ca="1">_xll.OracCurvePoint($H$4,$C12,J$8)</f>
        <v>#NAME?</v>
      </c>
      <c r="K12" s="2" t="e" cm="1">
        <f t="array" aca="1" ref="K12" ca="1">_xll.OracCurvePoint($H$4,$C12,K$8)</f>
        <v>#NAME?</v>
      </c>
      <c r="L12" s="2" t="e" cm="1">
        <f t="array" aca="1" ref="L12" ca="1">_xll.OracCurvePoint($H$4,$C12,L$8)</f>
        <v>#NAME?</v>
      </c>
      <c r="N12" s="3" t="e">
        <f ca="1"/>
        <v>#NAME?</v>
      </c>
      <c r="O12" s="3" t="e">
        <f ca="1"/>
        <v>#NAME?</v>
      </c>
      <c r="P12" s="2" t="e">
        <f ca="1"/>
        <v>#NAME?</v>
      </c>
      <c r="Q12" s="1" t="e">
        <f ca="1"/>
        <v>#NAME?</v>
      </c>
      <c r="S12" s="7" t="e">
        <f ca="1"/>
        <v>#NAME?</v>
      </c>
      <c r="T12" s="7" t="e">
        <f ca="1"/>
        <v>#NAME?</v>
      </c>
      <c r="U12" s="2" t="e">
        <f ca="1"/>
        <v>#NAME?</v>
      </c>
      <c r="V12" s="6" t="e">
        <f ca="1"/>
        <v>#NAME?</v>
      </c>
      <c r="X12" s="6" t="str">
        <f t="shared" si="0"/>
        <v>4Y</v>
      </c>
      <c r="Y12" s="6">
        <f t="shared" si="2"/>
        <v>4</v>
      </c>
      <c r="Z12" s="6" t="e" cm="1">
        <f t="array" aca="1" ref="Z12" ca="1">_xll.OracCurvePoint($H$5,$X12,Z$8)</f>
        <v>#NAME?</v>
      </c>
    </row>
    <row r="13" spans="2:26" x14ac:dyDescent="0.25">
      <c r="B13" t="s">
        <v>52</v>
      </c>
      <c r="C13" t="s">
        <v>15</v>
      </c>
      <c r="D13" s="6">
        <f t="shared" si="1"/>
        <v>-0.49</v>
      </c>
      <c r="E13" s="6">
        <v>0</v>
      </c>
      <c r="F13" s="5">
        <v>1</v>
      </c>
      <c r="G13" s="5">
        <v>-0.49</v>
      </c>
      <c r="H13" s="6" t="e" cm="1">
        <f t="array" aca="1" ref="H13" ca="1">_xll.OracPublish(H$3,C13,D13,H$2)</f>
        <v>#NAME?</v>
      </c>
      <c r="I13" s="1" t="e" cm="1">
        <f t="array" aca="1" ref="I13" ca="1">_xll.OracCurvePoint($H$4,$C13,I$8)</f>
        <v>#NAME?</v>
      </c>
      <c r="J13" s="1" t="e" cm="1">
        <f t="array" aca="1" ref="J13" ca="1">_xll.OracCurvePoint($H$4,$C13,J$8)</f>
        <v>#NAME?</v>
      </c>
      <c r="K13" s="2" t="e" cm="1">
        <f t="array" aca="1" ref="K13" ca="1">_xll.OracCurvePoint($H$4,$C13,K$8)</f>
        <v>#NAME?</v>
      </c>
      <c r="L13" s="2" t="e" cm="1">
        <f t="array" aca="1" ref="L13" ca="1">_xll.OracCurvePoint($H$4,$C13,L$8)</f>
        <v>#NAME?</v>
      </c>
      <c r="N13" s="3" t="e">
        <f ca="1"/>
        <v>#NAME?</v>
      </c>
      <c r="O13" s="3" t="e">
        <f ca="1"/>
        <v>#NAME?</v>
      </c>
      <c r="P13" s="2" t="e">
        <f ca="1"/>
        <v>#NAME?</v>
      </c>
      <c r="Q13" s="1" t="e">
        <f ca="1"/>
        <v>#NAME?</v>
      </c>
      <c r="S13" s="7" t="e">
        <f ca="1"/>
        <v>#NAME?</v>
      </c>
      <c r="T13" s="7" t="e">
        <f ca="1"/>
        <v>#NAME?</v>
      </c>
      <c r="U13" s="2" t="e">
        <f ca="1"/>
        <v>#NAME?</v>
      </c>
      <c r="V13" s="6" t="e">
        <f ca="1"/>
        <v>#NAME?</v>
      </c>
      <c r="X13" s="6" t="str">
        <f t="shared" si="0"/>
        <v>5Y</v>
      </c>
      <c r="Y13" s="6">
        <f t="shared" si="2"/>
        <v>5</v>
      </c>
      <c r="Z13" s="6" t="e" cm="1">
        <f t="array" aca="1" ref="Z13" ca="1">_xll.OracCurvePoint($H$5,$X13,Z$8)</f>
        <v>#NAME?</v>
      </c>
    </row>
    <row r="14" spans="2:26" x14ac:dyDescent="0.25">
      <c r="B14" t="s">
        <v>53</v>
      </c>
      <c r="C14" t="s">
        <v>16</v>
      </c>
      <c r="D14" s="6">
        <f t="shared" si="1"/>
        <v>-0.505</v>
      </c>
      <c r="E14" s="6">
        <v>0</v>
      </c>
      <c r="F14" s="5">
        <v>1</v>
      </c>
      <c r="G14" s="5">
        <v>-0.505</v>
      </c>
      <c r="H14" s="6" t="e" cm="1">
        <f t="array" aca="1" ref="H14" ca="1">_xll.OracPublish(H$3,C14,D14,H$2)</f>
        <v>#NAME?</v>
      </c>
      <c r="I14" s="1" t="e" cm="1">
        <f t="array" aca="1" ref="I14" ca="1">_xll.OracCurvePoint($H$4,$C14,I$8)</f>
        <v>#NAME?</v>
      </c>
      <c r="J14" s="1" t="e" cm="1">
        <f t="array" aca="1" ref="J14" ca="1">_xll.OracCurvePoint($H$4,$C14,J$8)</f>
        <v>#NAME?</v>
      </c>
      <c r="K14" s="2" t="e" cm="1">
        <f t="array" aca="1" ref="K14" ca="1">_xll.OracCurvePoint($H$4,$C14,K$8)</f>
        <v>#NAME?</v>
      </c>
      <c r="L14" s="2" t="e" cm="1">
        <f t="array" aca="1" ref="L14" ca="1">_xll.OracCurvePoint($H$4,$C14,L$8)</f>
        <v>#NAME?</v>
      </c>
      <c r="N14" s="3" t="e">
        <f ca="1"/>
        <v>#NAME?</v>
      </c>
      <c r="O14" s="3" t="e">
        <f ca="1"/>
        <v>#NAME?</v>
      </c>
      <c r="P14" s="2" t="e">
        <f ca="1"/>
        <v>#NAME?</v>
      </c>
      <c r="Q14" s="1" t="e">
        <f ca="1"/>
        <v>#NAME?</v>
      </c>
      <c r="S14" s="7" t="e">
        <f ca="1"/>
        <v>#NAME?</v>
      </c>
      <c r="T14" s="7" t="e">
        <f ca="1"/>
        <v>#NAME?</v>
      </c>
      <c r="U14" s="2" t="e">
        <f ca="1"/>
        <v>#NAME?</v>
      </c>
      <c r="V14" s="6" t="e">
        <f ca="1"/>
        <v>#NAME?</v>
      </c>
      <c r="X14" s="6" t="str">
        <f t="shared" si="0"/>
        <v>6Y</v>
      </c>
      <c r="Y14" s="6">
        <f t="shared" si="2"/>
        <v>6</v>
      </c>
      <c r="Z14" s="6" t="e" cm="1">
        <f t="array" aca="1" ref="Z14" ca="1">_xll.OracCurvePoint($H$5,$X14,Z$8)</f>
        <v>#NAME?</v>
      </c>
    </row>
    <row r="15" spans="2:26" x14ac:dyDescent="0.25">
      <c r="B15" t="s">
        <v>54</v>
      </c>
      <c r="C15" t="s">
        <v>17</v>
      </c>
      <c r="D15" s="6">
        <f t="shared" si="1"/>
        <v>-0.52400000000000002</v>
      </c>
      <c r="E15" s="6">
        <v>0</v>
      </c>
      <c r="F15" s="5">
        <v>1</v>
      </c>
      <c r="G15" s="5">
        <v>-0.52400000000000002</v>
      </c>
      <c r="H15" s="6" t="e" cm="1">
        <f t="array" aca="1" ref="H15" ca="1">_xll.OracPublish(H$3,C15,D15,H$2)</f>
        <v>#NAME?</v>
      </c>
      <c r="I15" s="1" t="e" cm="1">
        <f t="array" aca="1" ref="I15" ca="1">_xll.OracCurvePoint($H$4,$C15,I$8)</f>
        <v>#NAME?</v>
      </c>
      <c r="J15" s="1" t="e" cm="1">
        <f t="array" aca="1" ref="J15" ca="1">_xll.OracCurvePoint($H$4,$C15,J$8)</f>
        <v>#NAME?</v>
      </c>
      <c r="K15" s="2" t="e" cm="1">
        <f t="array" aca="1" ref="K15" ca="1">_xll.OracCurvePoint($H$4,$C15,K$8)</f>
        <v>#NAME?</v>
      </c>
      <c r="L15" s="2" t="e" cm="1">
        <f t="array" aca="1" ref="L15" ca="1">_xll.OracCurvePoint($H$4,$C15,L$8)</f>
        <v>#NAME?</v>
      </c>
      <c r="N15" s="3" t="e">
        <f ca="1"/>
        <v>#NAME?</v>
      </c>
      <c r="O15" s="3" t="e">
        <f ca="1"/>
        <v>#NAME?</v>
      </c>
      <c r="P15" s="2" t="e">
        <f ca="1"/>
        <v>#NAME?</v>
      </c>
      <c r="Q15" s="1" t="e">
        <f ca="1"/>
        <v>#NAME?</v>
      </c>
      <c r="S15" s="7" t="e">
        <f ca="1"/>
        <v>#NAME?</v>
      </c>
      <c r="T15" s="7" t="e">
        <f ca="1"/>
        <v>#NAME?</v>
      </c>
      <c r="U15" s="2" t="e">
        <f ca="1"/>
        <v>#NAME?</v>
      </c>
      <c r="V15" s="6" t="e">
        <f ca="1"/>
        <v>#NAME?</v>
      </c>
      <c r="X15" s="6" t="str">
        <f t="shared" si="0"/>
        <v>7Y</v>
      </c>
      <c r="Y15" s="6">
        <f t="shared" si="2"/>
        <v>7</v>
      </c>
      <c r="Z15" s="6" t="e" cm="1">
        <f t="array" aca="1" ref="Z15" ca="1">_xll.OracCurvePoint($H$5,$X15,Z$8)</f>
        <v>#NAME?</v>
      </c>
    </row>
    <row r="16" spans="2:26" x14ac:dyDescent="0.25">
      <c r="B16" t="s">
        <v>55</v>
      </c>
      <c r="C16" t="s">
        <v>18</v>
      </c>
      <c r="D16" s="6">
        <f t="shared" si="1"/>
        <v>-0.52700000000000002</v>
      </c>
      <c r="E16" s="6">
        <v>0</v>
      </c>
      <c r="F16" s="5">
        <v>1</v>
      </c>
      <c r="G16" s="5">
        <v>-0.52700000000000002</v>
      </c>
      <c r="H16" s="6" t="e" cm="1">
        <f t="array" aca="1" ref="H16" ca="1">_xll.OracPublish(H$3,C16,D16,H$2)</f>
        <v>#NAME?</v>
      </c>
      <c r="I16" s="1" t="e" cm="1">
        <f t="array" aca="1" ref="I16" ca="1">_xll.OracCurvePoint($H$4,$C16,I$8)</f>
        <v>#NAME?</v>
      </c>
      <c r="J16" s="1" t="e" cm="1">
        <f t="array" aca="1" ref="J16" ca="1">_xll.OracCurvePoint($H$4,$C16,J$8)</f>
        <v>#NAME?</v>
      </c>
      <c r="K16" s="2" t="e" cm="1">
        <f t="array" aca="1" ref="K16" ca="1">_xll.OracCurvePoint($H$4,$C16,K$8)</f>
        <v>#NAME?</v>
      </c>
      <c r="L16" s="2" t="e" cm="1">
        <f t="array" aca="1" ref="L16" ca="1">_xll.OracCurvePoint($H$4,$C16,L$8)</f>
        <v>#NAME?</v>
      </c>
      <c r="N16" s="3" t="e">
        <f ca="1"/>
        <v>#NAME?</v>
      </c>
      <c r="O16" s="3" t="e">
        <f ca="1"/>
        <v>#NAME?</v>
      </c>
      <c r="P16" s="2" t="e">
        <f ca="1"/>
        <v>#NAME?</v>
      </c>
      <c r="Q16" s="1" t="e">
        <f ca="1"/>
        <v>#NAME?</v>
      </c>
      <c r="S16" s="7" t="e">
        <f ca="1"/>
        <v>#NAME?</v>
      </c>
      <c r="T16" s="7" t="e">
        <f ca="1"/>
        <v>#NAME?</v>
      </c>
      <c r="U16" s="2" t="e">
        <f ca="1"/>
        <v>#NAME?</v>
      </c>
      <c r="V16" s="6" t="e">
        <f ca="1"/>
        <v>#NAME?</v>
      </c>
      <c r="X16" s="6" t="str">
        <f t="shared" si="0"/>
        <v>8Y</v>
      </c>
      <c r="Y16" s="6">
        <f t="shared" si="2"/>
        <v>8</v>
      </c>
      <c r="Z16" s="6" t="e" cm="1">
        <f t="array" aca="1" ref="Z16" ca="1">_xll.OracCurvePoint($H$5,$X16,Z$8)</f>
        <v>#NAME?</v>
      </c>
    </row>
    <row r="17" spans="2:26" x14ac:dyDescent="0.25">
      <c r="B17" t="s">
        <v>56</v>
      </c>
      <c r="C17" t="s">
        <v>19</v>
      </c>
      <c r="D17" s="6">
        <f t="shared" si="1"/>
        <v>-0.51300000000000001</v>
      </c>
      <c r="E17" s="6">
        <v>0</v>
      </c>
      <c r="F17" s="5">
        <v>1</v>
      </c>
      <c r="G17" s="5">
        <v>-0.51300000000000001</v>
      </c>
      <c r="H17" s="6" t="e" cm="1">
        <f t="array" aca="1" ref="H17" ca="1">_xll.OracPublish(H$3,C17,D17,H$2)</f>
        <v>#NAME?</v>
      </c>
      <c r="I17" s="1" t="e" cm="1">
        <f t="array" aca="1" ref="I17" ca="1">_xll.OracCurvePoint($H$4,$C17,I$8)</f>
        <v>#NAME?</v>
      </c>
      <c r="J17" s="1" t="e" cm="1">
        <f t="array" aca="1" ref="J17" ca="1">_xll.OracCurvePoint($H$4,$C17,J$8)</f>
        <v>#NAME?</v>
      </c>
      <c r="K17" s="2" t="e" cm="1">
        <f t="array" aca="1" ref="K17" ca="1">_xll.OracCurvePoint($H$4,$C17,K$8)</f>
        <v>#NAME?</v>
      </c>
      <c r="L17" s="2" t="e" cm="1">
        <f t="array" aca="1" ref="L17" ca="1">_xll.OracCurvePoint($H$4,$C17,L$8)</f>
        <v>#NAME?</v>
      </c>
      <c r="N17" s="3" t="e">
        <f ca="1"/>
        <v>#NAME?</v>
      </c>
      <c r="O17" s="3" t="e">
        <f ca="1"/>
        <v>#NAME?</v>
      </c>
      <c r="P17" s="2" t="e">
        <f ca="1"/>
        <v>#NAME?</v>
      </c>
      <c r="Q17" s="1" t="e">
        <f ca="1"/>
        <v>#NAME?</v>
      </c>
      <c r="S17" s="7" t="e">
        <f ca="1"/>
        <v>#NAME?</v>
      </c>
      <c r="T17" s="7" t="e">
        <f ca="1"/>
        <v>#NAME?</v>
      </c>
      <c r="U17" s="2" t="e">
        <f ca="1"/>
        <v>#NAME?</v>
      </c>
      <c r="V17" s="6" t="e">
        <f ca="1"/>
        <v>#NAME?</v>
      </c>
      <c r="X17" s="6" t="str">
        <f t="shared" si="0"/>
        <v>9Y</v>
      </c>
      <c r="Y17" s="6">
        <f t="shared" si="2"/>
        <v>9</v>
      </c>
      <c r="Z17" s="6" t="e" cm="1">
        <f t="array" aca="1" ref="Z17" ca="1">_xll.OracCurvePoint($H$5,$X17,Z$8)</f>
        <v>#NAME?</v>
      </c>
    </row>
    <row r="18" spans="2:26" x14ac:dyDescent="0.25">
      <c r="B18" t="s">
        <v>57</v>
      </c>
      <c r="C18" t="s">
        <v>20</v>
      </c>
      <c r="D18" s="6">
        <f t="shared" si="1"/>
        <v>-0.49099999999999999</v>
      </c>
      <c r="E18" s="6">
        <v>0</v>
      </c>
      <c r="F18" s="5">
        <v>1</v>
      </c>
      <c r="G18" s="5">
        <v>-0.49099999999999999</v>
      </c>
      <c r="H18" s="6" t="e" cm="1">
        <f t="array" aca="1" ref="H18" ca="1">_xll.OracPublish(H$3,C18,D18,H$2)</f>
        <v>#NAME?</v>
      </c>
      <c r="I18" s="1" t="e" cm="1">
        <f t="array" aca="1" ref="I18" ca="1">_xll.OracCurvePoint($H$4,$C18,I$8)</f>
        <v>#NAME?</v>
      </c>
      <c r="J18" s="1" t="e" cm="1">
        <f t="array" aca="1" ref="J18" ca="1">_xll.OracCurvePoint($H$4,$C18,J$8)</f>
        <v>#NAME?</v>
      </c>
      <c r="K18" s="2" t="e" cm="1">
        <f t="array" aca="1" ref="K18" ca="1">_xll.OracCurvePoint($H$4,$C18,K$8)</f>
        <v>#NAME?</v>
      </c>
      <c r="L18" s="2" t="e" cm="1">
        <f t="array" aca="1" ref="L18" ca="1">_xll.OracCurvePoint($H$4,$C18,L$8)</f>
        <v>#NAME?</v>
      </c>
      <c r="N18" s="3" t="e">
        <f ca="1"/>
        <v>#NAME?</v>
      </c>
      <c r="O18" s="3" t="e">
        <f ca="1"/>
        <v>#NAME?</v>
      </c>
      <c r="P18" s="2" t="e">
        <f ca="1"/>
        <v>#NAME?</v>
      </c>
      <c r="Q18" s="1" t="e">
        <f ca="1"/>
        <v>#NAME?</v>
      </c>
      <c r="S18" s="7" t="e">
        <f ca="1"/>
        <v>#NAME?</v>
      </c>
      <c r="T18" s="7" t="e">
        <f ca="1"/>
        <v>#NAME?</v>
      </c>
      <c r="U18" s="2" t="e">
        <f ca="1"/>
        <v>#NAME?</v>
      </c>
      <c r="V18" s="6" t="e">
        <f ca="1"/>
        <v>#NAME?</v>
      </c>
      <c r="X18" s="6" t="str">
        <f t="shared" si="0"/>
        <v>10Y</v>
      </c>
      <c r="Y18" s="6">
        <f t="shared" si="2"/>
        <v>10</v>
      </c>
      <c r="Z18" s="6" t="e" cm="1">
        <f t="array" aca="1" ref="Z18" ca="1">_xll.OracCurvePoint($H$5,$X18,Z$8)</f>
        <v>#NAME?</v>
      </c>
    </row>
    <row r="19" spans="2:26" x14ac:dyDescent="0.25">
      <c r="B19" t="s">
        <v>58</v>
      </c>
      <c r="C19" t="s">
        <v>21</v>
      </c>
      <c r="D19" s="6">
        <f t="shared" si="1"/>
        <v>-0.42199999999999999</v>
      </c>
      <c r="E19" s="6">
        <v>0</v>
      </c>
      <c r="F19" s="5">
        <v>1</v>
      </c>
      <c r="G19" s="5">
        <v>-0.42199999999999999</v>
      </c>
      <c r="H19" s="6" t="e" cm="1">
        <f t="array" aca="1" ref="H19" ca="1">_xll.OracPublish(H$3,C19,D19,H$2)</f>
        <v>#NAME?</v>
      </c>
      <c r="I19" s="1" t="e" cm="1">
        <f t="array" aca="1" ref="I19" ca="1">_xll.OracCurvePoint($H$4,$C19,I$8)</f>
        <v>#NAME?</v>
      </c>
      <c r="J19" s="1" t="e" cm="1">
        <f t="array" aca="1" ref="J19" ca="1">_xll.OracCurvePoint($H$4,$C19,J$8)</f>
        <v>#NAME?</v>
      </c>
      <c r="K19" s="2" t="e" cm="1">
        <f t="array" aca="1" ref="K19" ca="1">_xll.OracCurvePoint($H$4,$C19,K$8)</f>
        <v>#NAME?</v>
      </c>
      <c r="L19" s="2" t="e" cm="1">
        <f t="array" aca="1" ref="L19" ca="1">_xll.OracCurvePoint($H$4,$C19,L$8)</f>
        <v>#NAME?</v>
      </c>
      <c r="N19" s="3" t="e">
        <f ca="1"/>
        <v>#NAME?</v>
      </c>
      <c r="O19" s="3" t="e">
        <f ca="1"/>
        <v>#NAME?</v>
      </c>
      <c r="P19" s="2" t="e">
        <f ca="1"/>
        <v>#NAME?</v>
      </c>
      <c r="Q19" s="1" t="e">
        <f ca="1"/>
        <v>#NAME?</v>
      </c>
      <c r="S19" s="7" t="e">
        <f ca="1"/>
        <v>#NAME?</v>
      </c>
      <c r="T19" s="7" t="e">
        <f ca="1"/>
        <v>#NAME?</v>
      </c>
      <c r="U19" s="2" t="e">
        <f ca="1"/>
        <v>#NAME?</v>
      </c>
      <c r="V19" s="6" t="e">
        <f ca="1"/>
        <v>#NAME?</v>
      </c>
      <c r="X19" s="6" t="str">
        <f t="shared" si="0"/>
        <v>11Y</v>
      </c>
      <c r="Y19" s="6">
        <f t="shared" si="2"/>
        <v>11</v>
      </c>
      <c r="Z19" s="6" t="e" cm="1">
        <f t="array" aca="1" ref="Z19" ca="1">_xll.OracCurvePoint($H$5,$X19,Z$8)</f>
        <v>#NAME?</v>
      </c>
    </row>
    <row r="20" spans="2:26" x14ac:dyDescent="0.25">
      <c r="B20" t="s">
        <v>59</v>
      </c>
      <c r="C20" t="s">
        <v>22</v>
      </c>
      <c r="D20" s="6">
        <f t="shared" si="1"/>
        <v>-0.28999999999999998</v>
      </c>
      <c r="E20" s="6">
        <v>0</v>
      </c>
      <c r="F20" s="5">
        <v>1</v>
      </c>
      <c r="G20" s="5">
        <v>-0.28999999999999998</v>
      </c>
      <c r="H20" s="6" t="e" cm="1">
        <f t="array" aca="1" ref="H20" ca="1">_xll.OracPublish(H$3,C20,D20,H$2)</f>
        <v>#NAME?</v>
      </c>
      <c r="I20" s="1" t="e" cm="1">
        <f t="array" aca="1" ref="I20" ca="1">_xll.OracCurvePoint($H$4,$C20,I$8)</f>
        <v>#NAME?</v>
      </c>
      <c r="J20" s="1" t="e" cm="1">
        <f t="array" aca="1" ref="J20" ca="1">_xll.OracCurvePoint($H$4,$C20,J$8)</f>
        <v>#NAME?</v>
      </c>
      <c r="K20" s="2" t="e" cm="1">
        <f t="array" aca="1" ref="K20" ca="1">_xll.OracCurvePoint($H$4,$C20,K$8)</f>
        <v>#NAME?</v>
      </c>
      <c r="L20" s="2" t="e" cm="1">
        <f t="array" aca="1" ref="L20" ca="1">_xll.OracCurvePoint($H$4,$C20,L$8)</f>
        <v>#NAME?</v>
      </c>
      <c r="N20" s="3" t="e">
        <f ca="1"/>
        <v>#NAME?</v>
      </c>
      <c r="O20" s="3" t="e">
        <f ca="1"/>
        <v>#NAME?</v>
      </c>
      <c r="P20" s="2" t="e">
        <f ca="1"/>
        <v>#NAME?</v>
      </c>
      <c r="Q20" s="1" t="e">
        <f ca="1"/>
        <v>#NAME?</v>
      </c>
      <c r="S20" s="7" t="e">
        <f ca="1"/>
        <v>#NAME?</v>
      </c>
      <c r="T20" s="7" t="e">
        <f ca="1"/>
        <v>#NAME?</v>
      </c>
      <c r="U20" s="2" t="e">
        <f ca="1"/>
        <v>#NAME?</v>
      </c>
      <c r="V20" s="6" t="e">
        <f ca="1"/>
        <v>#NAME?</v>
      </c>
      <c r="X20" s="6" t="str">
        <f t="shared" si="0"/>
        <v>12Y</v>
      </c>
      <c r="Y20" s="6">
        <f t="shared" si="2"/>
        <v>12</v>
      </c>
      <c r="Z20" s="6" t="e" cm="1">
        <f t="array" aca="1" ref="Z20" ca="1">_xll.OracCurvePoint($H$5,$X20,Z$8)</f>
        <v>#NAME?</v>
      </c>
    </row>
    <row r="21" spans="2:26" x14ac:dyDescent="0.25">
      <c r="B21" t="s">
        <v>60</v>
      </c>
      <c r="C21" t="s">
        <v>23</v>
      </c>
      <c r="D21" s="6">
        <f t="shared" si="1"/>
        <v>-9.4E-2</v>
      </c>
      <c r="E21" s="6">
        <v>0</v>
      </c>
      <c r="F21" s="5">
        <v>1</v>
      </c>
      <c r="G21" s="5">
        <v>-9.4E-2</v>
      </c>
      <c r="H21" s="6" t="e" cm="1">
        <f t="array" aca="1" ref="H21" ca="1">_xll.OracPublish(H$3,C21,D21,H$2)</f>
        <v>#NAME?</v>
      </c>
      <c r="I21" s="1" t="e" cm="1">
        <f t="array" aca="1" ref="I21" ca="1">_xll.OracCurvePoint($H$4,$C21,I$8)</f>
        <v>#NAME?</v>
      </c>
      <c r="J21" s="1" t="e" cm="1">
        <f t="array" aca="1" ref="J21" ca="1">_xll.OracCurvePoint($H$4,$C21,J$8)</f>
        <v>#NAME?</v>
      </c>
      <c r="K21" s="2" t="e" cm="1">
        <f t="array" aca="1" ref="K21" ca="1">_xll.OracCurvePoint($H$4,$C21,K$8)</f>
        <v>#NAME?</v>
      </c>
      <c r="L21" s="2" t="e" cm="1">
        <f t="array" aca="1" ref="L21" ca="1">_xll.OracCurvePoint($H$4,$C21,L$8)</f>
        <v>#NAME?</v>
      </c>
      <c r="N21" s="3" t="e">
        <f ca="1"/>
        <v>#NAME?</v>
      </c>
      <c r="O21" s="3" t="e">
        <f ca="1"/>
        <v>#NAME?</v>
      </c>
      <c r="P21" s="2" t="e">
        <f ca="1"/>
        <v>#NAME?</v>
      </c>
      <c r="Q21" s="1" t="e">
        <f ca="1"/>
        <v>#NAME?</v>
      </c>
      <c r="S21" s="7" t="e">
        <f ca="1"/>
        <v>#NAME?</v>
      </c>
      <c r="T21" s="7" t="e">
        <f ca="1"/>
        <v>#NAME?</v>
      </c>
      <c r="U21" s="2" t="e">
        <f ca="1"/>
        <v>#NAME?</v>
      </c>
      <c r="V21" s="6" t="e">
        <f ca="1"/>
        <v>#NAME?</v>
      </c>
      <c r="X21" s="6" t="str">
        <f t="shared" si="0"/>
        <v>13Y</v>
      </c>
      <c r="Y21" s="6">
        <f t="shared" si="2"/>
        <v>13</v>
      </c>
      <c r="Z21" s="6" t="e" cm="1">
        <f t="array" aca="1" ref="Z21" ca="1">_xll.OracCurvePoint($H$5,$X21,Z$8)</f>
        <v>#NAME?</v>
      </c>
    </row>
    <row r="22" spans="2:26" x14ac:dyDescent="0.25">
      <c r="B22" t="s">
        <v>61</v>
      </c>
      <c r="C22" t="s">
        <v>24</v>
      </c>
      <c r="D22" s="6">
        <f t="shared" si="1"/>
        <v>-8.9999999999999993E-3</v>
      </c>
      <c r="E22" s="6">
        <v>0</v>
      </c>
      <c r="F22" s="5">
        <v>1</v>
      </c>
      <c r="G22" s="5">
        <v>-8.9999999999999993E-3</v>
      </c>
      <c r="H22" s="6" t="e" cm="1">
        <f t="array" aca="1" ref="H22" ca="1">_xll.OracPublish(H$3,C22,D22,H$2)</f>
        <v>#NAME?</v>
      </c>
      <c r="I22" s="1" t="e" cm="1">
        <f t="array" aca="1" ref="I22" ca="1">_xll.OracCurvePoint($H$4,$C22,I$8)</f>
        <v>#NAME?</v>
      </c>
      <c r="J22" s="1" t="e" cm="1">
        <f t="array" aca="1" ref="J22" ca="1">_xll.OracCurvePoint($H$4,$C22,J$8)</f>
        <v>#NAME?</v>
      </c>
      <c r="K22" s="2" t="e" cm="1">
        <f t="array" aca="1" ref="K22" ca="1">_xll.OracCurvePoint($H$4,$C22,K$8)</f>
        <v>#NAME?</v>
      </c>
      <c r="L22" s="2" t="e" cm="1">
        <f t="array" aca="1" ref="L22" ca="1">_xll.OracCurvePoint($H$4,$C22,L$8)</f>
        <v>#NAME?</v>
      </c>
      <c r="N22" s="3" t="e">
        <f ca="1"/>
        <v>#NAME?</v>
      </c>
      <c r="O22" s="3" t="e">
        <f ca="1"/>
        <v>#NAME?</v>
      </c>
      <c r="P22" s="2" t="e">
        <f ca="1"/>
        <v>#NAME?</v>
      </c>
      <c r="Q22" s="1" t="e">
        <f ca="1"/>
        <v>#NAME?</v>
      </c>
      <c r="S22" s="7" t="e">
        <f ca="1"/>
        <v>#NAME?</v>
      </c>
      <c r="T22" s="7" t="e">
        <f ca="1"/>
        <v>#NAME?</v>
      </c>
      <c r="U22" s="2" t="e">
        <f ca="1"/>
        <v>#NAME?</v>
      </c>
      <c r="V22" s="6" t="e">
        <f ca="1"/>
        <v>#NAME?</v>
      </c>
      <c r="X22" s="6" t="str">
        <f t="shared" si="0"/>
        <v>14Y</v>
      </c>
      <c r="Y22" s="6">
        <f t="shared" si="2"/>
        <v>14</v>
      </c>
      <c r="Z22" s="6" t="e" cm="1">
        <f t="array" aca="1" ref="Z22" ca="1">_xll.OracCurvePoint($H$5,$X22,Z$8)</f>
        <v>#NAME?</v>
      </c>
    </row>
    <row r="23" spans="2:26" x14ac:dyDescent="0.25">
      <c r="B23" t="s">
        <v>62</v>
      </c>
      <c r="C23" t="s">
        <v>25</v>
      </c>
      <c r="D23" s="6">
        <f t="shared" si="1"/>
        <v>-2.4E-2</v>
      </c>
      <c r="E23" s="6">
        <v>0</v>
      </c>
      <c r="F23" s="5">
        <v>1</v>
      </c>
      <c r="G23" s="5">
        <v>-2.4E-2</v>
      </c>
      <c r="H23" s="6" t="e" cm="1">
        <f t="array" aca="1" ref="H23" ca="1">_xll.OracPublish(H$3,C23,D23,H$2)</f>
        <v>#NAME?</v>
      </c>
      <c r="I23" s="1" t="e" cm="1">
        <f t="array" aca="1" ref="I23" ca="1">_xll.OracCurvePoint($H$4,$C23,I$8)</f>
        <v>#NAME?</v>
      </c>
      <c r="J23" s="1" t="e" cm="1">
        <f t="array" aca="1" ref="J23" ca="1">_xll.OracCurvePoint($H$4,$C23,J$8)</f>
        <v>#NAME?</v>
      </c>
      <c r="K23" s="2" t="e" cm="1">
        <f t="array" aca="1" ref="K23" ca="1">_xll.OracCurvePoint($H$4,$C23,K$8)</f>
        <v>#NAME?</v>
      </c>
      <c r="L23" s="2" t="e" cm="1">
        <f t="array" aca="1" ref="L23" ca="1">_xll.OracCurvePoint($H$4,$C23,L$8)</f>
        <v>#NAME?</v>
      </c>
      <c r="N23" s="3" t="e">
        <f ca="1"/>
        <v>#NAME?</v>
      </c>
      <c r="O23" s="3" t="e">
        <f ca="1"/>
        <v>#NAME?</v>
      </c>
      <c r="P23" s="2" t="e">
        <f ca="1"/>
        <v>#NAME?</v>
      </c>
      <c r="Q23" s="1" t="e">
        <f ca="1"/>
        <v>#NAME?</v>
      </c>
      <c r="S23" s="7" t="e">
        <f ca="1"/>
        <v>#NAME?</v>
      </c>
      <c r="T23" s="7" t="e">
        <f ca="1"/>
        <v>#NAME?</v>
      </c>
      <c r="U23" s="2" t="e">
        <f ca="1"/>
        <v>#NAME?</v>
      </c>
      <c r="V23" s="6" t="e">
        <f ca="1"/>
        <v>#NAME?</v>
      </c>
      <c r="X23" s="6" t="str">
        <f t="shared" si="0"/>
        <v>15Y</v>
      </c>
      <c r="Y23" s="6">
        <f t="shared" si="2"/>
        <v>15</v>
      </c>
      <c r="Z23" s="6" t="e" cm="1">
        <f t="array" aca="1" ref="Z23" ca="1">_xll.OracCurvePoint($H$5,$X23,Z$8)</f>
        <v>#NAME?</v>
      </c>
    </row>
    <row r="24" spans="2:26" x14ac:dyDescent="0.25">
      <c r="K24" s="2"/>
      <c r="L24" s="2"/>
      <c r="N24" s="3" t="e">
        <f ca="1"/>
        <v>#NAME?</v>
      </c>
      <c r="O24" s="3" t="e">
        <f ca="1"/>
        <v>#NAME?</v>
      </c>
      <c r="P24" s="2" t="e">
        <f ca="1"/>
        <v>#NAME?</v>
      </c>
      <c r="Q24" s="1" t="e">
        <f ca="1"/>
        <v>#NAME?</v>
      </c>
      <c r="S24" s="7" t="e">
        <f ca="1"/>
        <v>#NAME?</v>
      </c>
      <c r="T24" s="7" t="e">
        <f ca="1"/>
        <v>#NAME?</v>
      </c>
      <c r="U24" s="2" t="e">
        <f ca="1"/>
        <v>#NAME?</v>
      </c>
      <c r="V24" s="6" t="e">
        <f ca="1"/>
        <v>#NAME?</v>
      </c>
      <c r="X24" s="6" t="str">
        <f t="shared" si="0"/>
        <v>16Y</v>
      </c>
      <c r="Y24" s="6">
        <f t="shared" si="2"/>
        <v>16</v>
      </c>
      <c r="Z24" s="6" t="e" cm="1">
        <f t="array" aca="1" ref="Z24" ca="1">_xll.OracCurvePoint($H$5,$X24,Z$8)</f>
        <v>#NAME?</v>
      </c>
    </row>
    <row r="25" spans="2:26" x14ac:dyDescent="0.25">
      <c r="B25" t="s">
        <v>63</v>
      </c>
      <c r="C25" t="s">
        <v>26</v>
      </c>
      <c r="D25" s="6">
        <f t="shared" si="1"/>
        <v>-0.52700000000000002</v>
      </c>
      <c r="E25" s="6">
        <v>0</v>
      </c>
      <c r="F25" s="5">
        <v>1</v>
      </c>
      <c r="G25" s="5">
        <v>-0.52700000000000002</v>
      </c>
      <c r="H25" s="6" t="e" cm="1">
        <f t="array" aca="1" ref="H25" ca="1">_xll.OracPublish(H$3,C25,D25,H$2)</f>
        <v>#NAME?</v>
      </c>
      <c r="I25" s="1" t="e" cm="1">
        <f t="array" aca="1" ref="I25" ca="1">_xll.OracCurvePoint($H$4,$C25,I$8)</f>
        <v>#NAME?</v>
      </c>
      <c r="J25" s="1" t="e" cm="1">
        <f t="array" aca="1" ref="J25" ca="1">_xll.OracCurvePoint($H$4,$C25,J$8)</f>
        <v>#NAME?</v>
      </c>
      <c r="K25" s="2" t="e" cm="1">
        <f t="array" aca="1" ref="K25" ca="1">_xll.OracCurvePoint($H$4,$C25,K$8)</f>
        <v>#NAME?</v>
      </c>
      <c r="L25" s="2" t="e" cm="1">
        <f t="array" aca="1" ref="L25" ca="1">_xll.OracCurvePoint($H$4,$C25,L$8)</f>
        <v>#NAME?</v>
      </c>
      <c r="N25" s="3" t="e">
        <f ca="1"/>
        <v>#NAME?</v>
      </c>
      <c r="O25" s="3" t="e">
        <f ca="1"/>
        <v>#NAME?</v>
      </c>
      <c r="P25" s="2" t="e">
        <f ca="1"/>
        <v>#NAME?</v>
      </c>
      <c r="Q25" s="1" t="e">
        <f ca="1"/>
        <v>#NAME?</v>
      </c>
      <c r="S25" s="7" t="e">
        <f ca="1"/>
        <v>#NAME?</v>
      </c>
      <c r="T25" s="7" t="e">
        <f ca="1"/>
        <v>#NAME?</v>
      </c>
      <c r="U25" s="2" t="e">
        <f ca="1"/>
        <v>#NAME?</v>
      </c>
      <c r="V25" s="6" t="e">
        <f ca="1"/>
        <v>#NAME?</v>
      </c>
      <c r="X25" s="6" t="str">
        <f t="shared" si="0"/>
        <v>17Y</v>
      </c>
      <c r="Y25" s="6">
        <f t="shared" si="2"/>
        <v>17</v>
      </c>
      <c r="Z25" s="6" t="e" cm="1">
        <f t="array" aca="1" ref="Z25" ca="1">_xll.OracCurvePoint($H$5,$X25,Z$8)</f>
        <v>#NAME?</v>
      </c>
    </row>
    <row r="26" spans="2:26" x14ac:dyDescent="0.25">
      <c r="B26" t="s">
        <v>64</v>
      </c>
      <c r="C26" t="s">
        <v>27</v>
      </c>
      <c r="D26" s="6">
        <f t="shared" si="1"/>
        <v>-0.52100000000000002</v>
      </c>
      <c r="E26" s="6">
        <v>0</v>
      </c>
      <c r="F26" s="5">
        <v>1</v>
      </c>
      <c r="G26" s="5">
        <v>-0.52100000000000002</v>
      </c>
      <c r="H26" s="6" t="e" cm="1">
        <f t="array" aca="1" ref="H26" ca="1">_xll.OracPublish(H$3,C26,D26,H$2)</f>
        <v>#NAME?</v>
      </c>
      <c r="I26" s="1" t="e" cm="1">
        <f t="array" aca="1" ref="I26" ca="1">_xll.OracCurvePoint($H$4,$C26,I$8)</f>
        <v>#NAME?</v>
      </c>
      <c r="J26" s="1" t="e" cm="1">
        <f t="array" aca="1" ref="J26" ca="1">_xll.OracCurvePoint($H$4,$C26,J$8)</f>
        <v>#NAME?</v>
      </c>
      <c r="K26" s="2" t="e" cm="1">
        <f t="array" aca="1" ref="K26" ca="1">_xll.OracCurvePoint($H$4,$C26,K$8)</f>
        <v>#NAME?</v>
      </c>
      <c r="L26" s="2" t="e" cm="1">
        <f t="array" aca="1" ref="L26" ca="1">_xll.OracCurvePoint($H$4,$C26,L$8)</f>
        <v>#NAME?</v>
      </c>
      <c r="N26" s="3" t="e">
        <f ca="1"/>
        <v>#NAME?</v>
      </c>
      <c r="O26" s="3" t="e">
        <f ca="1"/>
        <v>#NAME?</v>
      </c>
      <c r="P26" s="2" t="e">
        <f ca="1"/>
        <v>#NAME?</v>
      </c>
      <c r="Q26" s="1" t="e">
        <f ca="1"/>
        <v>#NAME?</v>
      </c>
      <c r="S26" s="7" t="e">
        <f ca="1"/>
        <v>#NAME?</v>
      </c>
      <c r="T26" s="7" t="e">
        <f ca="1"/>
        <v>#NAME?</v>
      </c>
      <c r="U26" s="2" t="e">
        <f ca="1"/>
        <v>#NAME?</v>
      </c>
      <c r="V26" s="6" t="e">
        <f ca="1"/>
        <v>#NAME?</v>
      </c>
      <c r="X26" s="6" t="str">
        <f t="shared" si="0"/>
        <v>18Y</v>
      </c>
      <c r="Y26" s="6">
        <f t="shared" si="2"/>
        <v>18</v>
      </c>
      <c r="Z26" s="6" t="e" cm="1">
        <f t="array" aca="1" ref="Z26" ca="1">_xll.OracCurvePoint($H$5,$X26,Z$8)</f>
        <v>#NAME?</v>
      </c>
    </row>
    <row r="27" spans="2:26" x14ac:dyDescent="0.25">
      <c r="B27" t="s">
        <v>65</v>
      </c>
      <c r="C27" t="s">
        <v>28</v>
      </c>
      <c r="D27" s="6">
        <f t="shared" si="1"/>
        <v>2.4E-2</v>
      </c>
      <c r="E27" s="6">
        <v>0</v>
      </c>
      <c r="F27" s="5">
        <v>100</v>
      </c>
      <c r="G27" s="5">
        <v>2.4</v>
      </c>
      <c r="H27" s="6" t="e" cm="1">
        <f t="array" aca="1" ref="H27" ca="1">_xll.OracPublish(H$3,C27,D27,H$2)</f>
        <v>#NAME?</v>
      </c>
      <c r="I27" s="1" t="e" cm="1">
        <f t="array" aca="1" ref="I27" ca="1">_xll.OracCurvePoint($H$4,$C27,I$8)</f>
        <v>#NAME?</v>
      </c>
      <c r="J27" s="1" t="e" cm="1">
        <f t="array" aca="1" ref="J27" ca="1">_xll.OracCurvePoint($H$4,$C27,J$8)</f>
        <v>#NAME?</v>
      </c>
      <c r="K27" s="2" t="e" cm="1">
        <f t="array" aca="1" ref="K27" ca="1">_xll.OracCurvePoint($H$4,$C27,K$8)</f>
        <v>#NAME?</v>
      </c>
      <c r="L27" s="2" t="e" cm="1">
        <f t="array" aca="1" ref="L27" ca="1">_xll.OracCurvePoint($H$4,$C27,L$8)</f>
        <v>#NAME?</v>
      </c>
      <c r="N27" s="3" t="e">
        <f ca="1"/>
        <v>#NAME?</v>
      </c>
      <c r="O27" s="3" t="e">
        <f ca="1"/>
        <v>#NAME?</v>
      </c>
      <c r="P27" s="2" t="e">
        <f ca="1"/>
        <v>#NAME?</v>
      </c>
      <c r="Q27" s="1" t="e">
        <f ca="1"/>
        <v>#NAME?</v>
      </c>
      <c r="S27" s="7" t="e">
        <f ca="1"/>
        <v>#NAME?</v>
      </c>
      <c r="T27" s="7" t="e">
        <f ca="1"/>
        <v>#NAME?</v>
      </c>
      <c r="U27" s="2" t="e">
        <f ca="1"/>
        <v>#NAME?</v>
      </c>
      <c r="V27" s="6" t="e">
        <f ca="1"/>
        <v>#NAME?</v>
      </c>
      <c r="X27" s="6" t="str">
        <f t="shared" si="0"/>
        <v>19Y</v>
      </c>
      <c r="Y27" s="6">
        <f t="shared" si="2"/>
        <v>19</v>
      </c>
      <c r="Z27" s="6" t="e" cm="1">
        <f t="array" aca="1" ref="Z27" ca="1">_xll.OracCurvePoint($H$5,$X27,Z$8)</f>
        <v>#NAME?</v>
      </c>
    </row>
    <row r="28" spans="2:26" x14ac:dyDescent="0.25">
      <c r="B28" t="s">
        <v>66</v>
      </c>
      <c r="C28" t="s">
        <v>29</v>
      </c>
      <c r="D28" s="6">
        <f t="shared" si="1"/>
        <v>2.7000000000000003E-2</v>
      </c>
      <c r="E28" s="6">
        <v>0</v>
      </c>
      <c r="F28" s="5">
        <v>100</v>
      </c>
      <c r="G28" s="5">
        <v>2.7</v>
      </c>
      <c r="H28" s="6" t="e" cm="1">
        <f t="array" aca="1" ref="H28" ca="1">_xll.OracPublish(H$3,C28,D28,H$2)</f>
        <v>#NAME?</v>
      </c>
      <c r="I28" s="1" t="e" cm="1">
        <f t="array" aca="1" ref="I28" ca="1">_xll.OracCurvePoint($H$4,$C28,I$8)</f>
        <v>#NAME?</v>
      </c>
      <c r="J28" s="1" t="e" cm="1">
        <f t="array" aca="1" ref="J28" ca="1">_xll.OracCurvePoint($H$4,$C28,J$8)</f>
        <v>#NAME?</v>
      </c>
      <c r="K28" s="2" t="e" cm="1">
        <f t="array" aca="1" ref="K28" ca="1">_xll.OracCurvePoint($H$4,$C28,K$8)</f>
        <v>#NAME?</v>
      </c>
      <c r="L28" s="2" t="e" cm="1">
        <f t="array" aca="1" ref="L28" ca="1">_xll.OracCurvePoint($H$4,$C28,L$8)</f>
        <v>#NAME?</v>
      </c>
      <c r="N28" s="3" t="e">
        <f ca="1"/>
        <v>#NAME?</v>
      </c>
      <c r="O28" s="3" t="e">
        <f ca="1"/>
        <v>#NAME?</v>
      </c>
      <c r="P28" s="2" t="e">
        <f ca="1"/>
        <v>#NAME?</v>
      </c>
      <c r="Q28" s="1" t="e">
        <f ca="1"/>
        <v>#NAME?</v>
      </c>
      <c r="S28" s="7" t="e">
        <f ca="1"/>
        <v>#NAME?</v>
      </c>
      <c r="T28" s="7" t="e">
        <f ca="1"/>
        <v>#NAME?</v>
      </c>
      <c r="U28" s="2" t="e">
        <f ca="1"/>
        <v>#NAME?</v>
      </c>
      <c r="V28" s="6" t="e">
        <f ca="1"/>
        <v>#NAME?</v>
      </c>
      <c r="X28" s="6" t="str">
        <f t="shared" si="0"/>
        <v>20Y</v>
      </c>
      <c r="Y28" s="6">
        <f t="shared" si="2"/>
        <v>20</v>
      </c>
      <c r="Z28" s="6" t="e" cm="1">
        <f t="array" aca="1" ref="Z28" ca="1">_xll.OracCurvePoint($H$5,$X28,Z$8)</f>
        <v>#NAME?</v>
      </c>
    </row>
    <row r="29" spans="2:26" x14ac:dyDescent="0.25">
      <c r="B29" t="s">
        <v>67</v>
      </c>
      <c r="C29" t="s">
        <v>30</v>
      </c>
      <c r="D29" s="6">
        <f t="shared" si="1"/>
        <v>2.9500000000000002E-2</v>
      </c>
      <c r="E29" s="6">
        <v>0</v>
      </c>
      <c r="F29" s="5">
        <v>100</v>
      </c>
      <c r="G29" s="5">
        <v>2.95</v>
      </c>
      <c r="H29" s="6" t="e" cm="1">
        <f t="array" aca="1" ref="H29" ca="1">_xll.OracPublish(H$3,C29,D29,H$2)</f>
        <v>#NAME?</v>
      </c>
      <c r="I29" s="1" t="e" cm="1">
        <f t="array" aca="1" ref="I29" ca="1">_xll.OracCurvePoint($H$4,$C29,I$8)</f>
        <v>#NAME?</v>
      </c>
      <c r="J29" s="1" t="e" cm="1">
        <f t="array" aca="1" ref="J29" ca="1">_xll.OracCurvePoint($H$4,$C29,J$8)</f>
        <v>#NAME?</v>
      </c>
      <c r="K29" s="2" t="e" cm="1">
        <f t="array" aca="1" ref="K29" ca="1">_xll.OracCurvePoint($H$4,$C29,K$8)</f>
        <v>#NAME?</v>
      </c>
      <c r="L29" s="2" t="e" cm="1">
        <f t="array" aca="1" ref="L29" ca="1">_xll.OracCurvePoint($H$4,$C29,L$8)</f>
        <v>#NAME?</v>
      </c>
      <c r="N29" s="3" t="e">
        <f ca="1"/>
        <v>#NAME?</v>
      </c>
      <c r="O29" s="3" t="e">
        <f ca="1"/>
        <v>#NAME?</v>
      </c>
      <c r="P29" s="2" t="e">
        <f ca="1"/>
        <v>#NAME?</v>
      </c>
      <c r="Q29" s="1" t="e">
        <f ca="1"/>
        <v>#NAME?</v>
      </c>
      <c r="S29" s="7" t="e">
        <f ca="1"/>
        <v>#NAME?</v>
      </c>
      <c r="T29" s="7" t="e">
        <f ca="1"/>
        <v>#NAME?</v>
      </c>
      <c r="U29" s="2" t="e">
        <f ca="1"/>
        <v>#NAME?</v>
      </c>
      <c r="V29" s="6" t="e">
        <f ca="1"/>
        <v>#NAME?</v>
      </c>
      <c r="X29" s="6" t="str">
        <f t="shared" si="0"/>
        <v>21Y</v>
      </c>
      <c r="Y29" s="6">
        <f t="shared" si="2"/>
        <v>21</v>
      </c>
      <c r="Z29" s="6" t="e" cm="1">
        <f t="array" aca="1" ref="Z29" ca="1">_xll.OracCurvePoint($H$5,$X29,Z$8)</f>
        <v>#NAME?</v>
      </c>
    </row>
    <row r="30" spans="2:26" x14ac:dyDescent="0.25">
      <c r="B30" t="s">
        <v>68</v>
      </c>
      <c r="C30" t="s">
        <v>31</v>
      </c>
      <c r="D30" s="6">
        <f t="shared" si="1"/>
        <v>3.1E-2</v>
      </c>
      <c r="E30" s="6">
        <v>0</v>
      </c>
      <c r="F30" s="5">
        <v>100</v>
      </c>
      <c r="G30" s="5">
        <v>3.1</v>
      </c>
      <c r="H30" s="6" t="e" cm="1">
        <f t="array" aca="1" ref="H30" ca="1">_xll.OracPublish(H$3,C30,D30,H$2)</f>
        <v>#NAME?</v>
      </c>
      <c r="I30" s="1" t="e" cm="1">
        <f t="array" aca="1" ref="I30" ca="1">_xll.OracCurvePoint($H$4,$C30,I$8)</f>
        <v>#NAME?</v>
      </c>
      <c r="J30" s="1" t="e" cm="1">
        <f t="array" aca="1" ref="J30" ca="1">_xll.OracCurvePoint($H$4,$C30,J$8)</f>
        <v>#NAME?</v>
      </c>
      <c r="K30" s="2" t="e" cm="1">
        <f t="array" aca="1" ref="K30" ca="1">_xll.OracCurvePoint($H$4,$C30,K$8)</f>
        <v>#NAME?</v>
      </c>
      <c r="L30" s="2" t="e" cm="1">
        <f t="array" aca="1" ref="L30" ca="1">_xll.OracCurvePoint($H$4,$C30,L$8)</f>
        <v>#NAME?</v>
      </c>
      <c r="N30" s="3" t="e">
        <f ca="1"/>
        <v>#NAME?</v>
      </c>
      <c r="O30" s="3" t="e">
        <f ca="1"/>
        <v>#NAME?</v>
      </c>
      <c r="P30" s="2" t="e">
        <f ca="1"/>
        <v>#NAME?</v>
      </c>
      <c r="Q30" s="1" t="e">
        <f ca="1"/>
        <v>#NAME?</v>
      </c>
      <c r="S30" s="7" t="e">
        <f ca="1"/>
        <v>#NAME?</v>
      </c>
      <c r="T30" s="7" t="e">
        <f ca="1"/>
        <v>#NAME?</v>
      </c>
      <c r="U30" s="2" t="e">
        <f ca="1"/>
        <v>#NAME?</v>
      </c>
      <c r="V30" s="6" t="e">
        <f ca="1"/>
        <v>#NAME?</v>
      </c>
      <c r="X30" s="6" t="str">
        <f t="shared" si="0"/>
        <v>22Y</v>
      </c>
      <c r="Y30" s="6">
        <f t="shared" si="2"/>
        <v>22</v>
      </c>
      <c r="Z30" s="6" t="e" cm="1">
        <f t="array" aca="1" ref="Z30" ca="1">_xll.OracCurvePoint($H$5,$X30,Z$8)</f>
        <v>#NAME?</v>
      </c>
    </row>
    <row r="31" spans="2:26" x14ac:dyDescent="0.25">
      <c r="B31" t="s">
        <v>69</v>
      </c>
      <c r="C31" t="s">
        <v>32</v>
      </c>
      <c r="D31" s="6">
        <f t="shared" si="1"/>
        <v>3.1E-2</v>
      </c>
      <c r="E31" s="6">
        <v>0</v>
      </c>
      <c r="F31" s="5">
        <v>100</v>
      </c>
      <c r="G31" s="5">
        <v>3.1</v>
      </c>
      <c r="H31" s="6" t="e" cm="1">
        <f t="array" aca="1" ref="H31" ca="1">_xll.OracPublish(H$3,C31,D31,H$2)</f>
        <v>#NAME?</v>
      </c>
      <c r="I31" s="1" t="e" cm="1">
        <f t="array" aca="1" ref="I31" ca="1">_xll.OracCurvePoint($H$4,$C31,I$8)</f>
        <v>#NAME?</v>
      </c>
      <c r="J31" s="1" t="e" cm="1">
        <f t="array" aca="1" ref="J31" ca="1">_xll.OracCurvePoint($H$4,$C31,J$8)</f>
        <v>#NAME?</v>
      </c>
      <c r="K31" s="2" t="e" cm="1">
        <f t="array" aca="1" ref="K31" ca="1">_xll.OracCurvePoint($H$4,$C31,K$8)</f>
        <v>#NAME?</v>
      </c>
      <c r="L31" s="2" t="e" cm="1">
        <f t="array" aca="1" ref="L31" ca="1">_xll.OracCurvePoint($H$4,$C31,L$8)</f>
        <v>#NAME?</v>
      </c>
      <c r="N31" s="3" t="e">
        <f ca="1"/>
        <v>#NAME?</v>
      </c>
      <c r="O31" s="3" t="e">
        <f ca="1"/>
        <v>#NAME?</v>
      </c>
      <c r="P31" s="2" t="e">
        <f ca="1"/>
        <v>#NAME?</v>
      </c>
      <c r="Q31" s="1" t="e">
        <f ca="1"/>
        <v>#NAME?</v>
      </c>
      <c r="S31" s="7" t="e">
        <f ca="1"/>
        <v>#NAME?</v>
      </c>
      <c r="T31" s="7" t="e">
        <f ca="1"/>
        <v>#NAME?</v>
      </c>
      <c r="U31" s="2" t="e">
        <f ca="1"/>
        <v>#NAME?</v>
      </c>
      <c r="V31" s="6" t="e">
        <f ca="1"/>
        <v>#NAME?</v>
      </c>
      <c r="X31" s="6" t="str">
        <f t="shared" si="0"/>
        <v>23Y</v>
      </c>
      <c r="Y31" s="6">
        <f t="shared" si="2"/>
        <v>23</v>
      </c>
      <c r="Z31" s="6" t="e" cm="1">
        <f t="array" aca="1" ref="Z31" ca="1">_xll.OracCurvePoint($H$5,$X31,Z$8)</f>
        <v>#NAME?</v>
      </c>
    </row>
    <row r="32" spans="2:26" x14ac:dyDescent="0.25">
      <c r="B32" t="s">
        <v>70</v>
      </c>
      <c r="C32" t="s">
        <v>33</v>
      </c>
      <c r="D32" s="6">
        <f t="shared" si="1"/>
        <v>2.8500000000000001E-2</v>
      </c>
      <c r="E32" s="6">
        <v>0</v>
      </c>
      <c r="F32" s="5">
        <v>100</v>
      </c>
      <c r="G32" s="5">
        <v>2.85</v>
      </c>
      <c r="H32" s="6" t="e" cm="1">
        <f t="array" aca="1" ref="H32" ca="1">_xll.OracPublish(H$3,C32,D32,H$2)</f>
        <v>#NAME?</v>
      </c>
      <c r="I32" s="1" t="e" cm="1">
        <f t="array" aca="1" ref="I32" ca="1">_xll.OracCurvePoint($H$4,$C32,I$8)</f>
        <v>#NAME?</v>
      </c>
      <c r="J32" s="1" t="e" cm="1">
        <f t="array" aca="1" ref="J32" ca="1">_xll.OracCurvePoint($H$4,$C32,J$8)</f>
        <v>#NAME?</v>
      </c>
      <c r="K32" s="2" t="e" cm="1">
        <f t="array" aca="1" ref="K32" ca="1">_xll.OracCurvePoint($H$4,$C32,K$8)</f>
        <v>#NAME?</v>
      </c>
      <c r="L32" s="2" t="e" cm="1">
        <f t="array" aca="1" ref="L32" ca="1">_xll.OracCurvePoint($H$4,$C32,L$8)</f>
        <v>#NAME?</v>
      </c>
      <c r="N32" s="3" t="e">
        <f ca="1"/>
        <v>#NAME?</v>
      </c>
      <c r="O32" s="3" t="e">
        <f ca="1"/>
        <v>#NAME?</v>
      </c>
      <c r="P32" s="2" t="e">
        <f ca="1"/>
        <v>#NAME?</v>
      </c>
      <c r="Q32" s="1" t="e">
        <f ca="1"/>
        <v>#NAME?</v>
      </c>
      <c r="S32" s="7" t="e">
        <f ca="1"/>
        <v>#NAME?</v>
      </c>
      <c r="T32" s="7" t="e">
        <f ca="1"/>
        <v>#NAME?</v>
      </c>
      <c r="U32" s="2" t="e">
        <f ca="1"/>
        <v>#NAME?</v>
      </c>
      <c r="V32" s="6" t="e">
        <f ca="1"/>
        <v>#NAME?</v>
      </c>
      <c r="X32" s="6" t="str">
        <f t="shared" si="0"/>
        <v>24Y</v>
      </c>
      <c r="Y32" s="6">
        <f t="shared" si="2"/>
        <v>24</v>
      </c>
      <c r="Z32" s="6" t="e" cm="1">
        <f t="array" aca="1" ref="Z32" ca="1">_xll.OracCurvePoint($H$5,$X32,Z$8)</f>
        <v>#NAME?</v>
      </c>
    </row>
    <row r="33" spans="2:26" x14ac:dyDescent="0.25">
      <c r="B33" t="s">
        <v>71</v>
      </c>
      <c r="C33" t="s">
        <v>34</v>
      </c>
      <c r="D33" s="6">
        <f t="shared" si="1"/>
        <v>2.2000000000000002E-2</v>
      </c>
      <c r="E33" s="6">
        <v>0</v>
      </c>
      <c r="F33" s="5">
        <v>100</v>
      </c>
      <c r="G33" s="5">
        <v>2.2000000000000002</v>
      </c>
      <c r="H33" s="6" t="e" cm="1">
        <f t="array" aca="1" ref="H33" ca="1">_xll.OracPublish(H$3,C33,D33,H$2)</f>
        <v>#NAME?</v>
      </c>
      <c r="I33" s="1" t="e" cm="1">
        <f t="array" aca="1" ref="I33" ca="1">_xll.OracCurvePoint($H$4,$C33,I$8)</f>
        <v>#NAME?</v>
      </c>
      <c r="J33" s="1" t="e" cm="1">
        <f t="array" aca="1" ref="J33" ca="1">_xll.OracCurvePoint($H$4,$C33,J$8)</f>
        <v>#NAME?</v>
      </c>
      <c r="K33" s="2" t="e" cm="1">
        <f t="array" aca="1" ref="K33" ca="1">_xll.OracCurvePoint($H$4,$C33,K$8)</f>
        <v>#NAME?</v>
      </c>
      <c r="L33" s="2" t="e" cm="1">
        <f t="array" aca="1" ref="L33" ca="1">_xll.OracCurvePoint($H$4,$C33,L$8)</f>
        <v>#NAME?</v>
      </c>
      <c r="N33" s="3" t="e">
        <f ca="1"/>
        <v>#NAME?</v>
      </c>
      <c r="O33" s="3" t="e">
        <f ca="1"/>
        <v>#NAME?</v>
      </c>
      <c r="P33" s="2" t="e">
        <f ca="1"/>
        <v>#NAME?</v>
      </c>
      <c r="Q33" s="1" t="e">
        <f ca="1"/>
        <v>#NAME?</v>
      </c>
      <c r="S33" s="7" t="e">
        <f ca="1"/>
        <v>#NAME?</v>
      </c>
      <c r="T33" s="7" t="e">
        <f ca="1"/>
        <v>#NAME?</v>
      </c>
      <c r="U33" s="2" t="e">
        <f ca="1"/>
        <v>#NAME?</v>
      </c>
      <c r="V33" s="6" t="e">
        <f ca="1"/>
        <v>#NAME?</v>
      </c>
      <c r="X33" s="6" t="str">
        <f t="shared" si="0"/>
        <v>25Y</v>
      </c>
      <c r="Y33" s="6">
        <f t="shared" si="2"/>
        <v>25</v>
      </c>
      <c r="Z33" s="6" t="e" cm="1">
        <f t="array" aca="1" ref="Z33" ca="1">_xll.OracCurvePoint($H$5,$X33,Z$8)</f>
        <v>#NAME?</v>
      </c>
    </row>
    <row r="34" spans="2:26" x14ac:dyDescent="0.25">
      <c r="B34" t="s">
        <v>72</v>
      </c>
      <c r="C34" t="s">
        <v>35</v>
      </c>
      <c r="D34" s="6">
        <f t="shared" si="1"/>
        <v>1.1000000000000001E-2</v>
      </c>
      <c r="E34" s="6">
        <v>0</v>
      </c>
      <c r="F34" s="5">
        <v>100</v>
      </c>
      <c r="G34" s="5">
        <v>1.1000000000000001</v>
      </c>
      <c r="H34" s="6" t="e" cm="1">
        <f t="array" aca="1" ref="H34" ca="1">_xll.OracPublish(H$3,C34,D34,H$2)</f>
        <v>#NAME?</v>
      </c>
      <c r="I34" s="1" t="e" cm="1">
        <f t="array" aca="1" ref="I34" ca="1">_xll.OracCurvePoint($H$4,$C34,I$8)</f>
        <v>#NAME?</v>
      </c>
      <c r="J34" s="1" t="e" cm="1">
        <f t="array" aca="1" ref="J34" ca="1">_xll.OracCurvePoint($H$4,$C34,J$8)</f>
        <v>#NAME?</v>
      </c>
      <c r="K34" s="2" t="e" cm="1">
        <f t="array" aca="1" ref="K34" ca="1">_xll.OracCurvePoint($H$4,$C34,K$8)</f>
        <v>#NAME?</v>
      </c>
      <c r="L34" s="2" t="e" cm="1">
        <f t="array" aca="1" ref="L34" ca="1">_xll.OracCurvePoint($H$4,$C34,L$8)</f>
        <v>#NAME?</v>
      </c>
      <c r="N34" s="3" t="e">
        <f ca="1"/>
        <v>#NAME?</v>
      </c>
      <c r="O34" s="3" t="e">
        <f ca="1"/>
        <v>#NAME?</v>
      </c>
      <c r="P34" s="2" t="e">
        <f ca="1"/>
        <v>#NAME?</v>
      </c>
      <c r="Q34" s="1" t="e">
        <f ca="1"/>
        <v>#NAME?</v>
      </c>
      <c r="S34" s="7" t="e">
        <f ca="1"/>
        <v>#NAME?</v>
      </c>
      <c r="T34" s="7" t="e">
        <f ca="1"/>
        <v>#NAME?</v>
      </c>
      <c r="U34" s="2" t="e">
        <f ca="1"/>
        <v>#NAME?</v>
      </c>
      <c r="V34" s="6" t="e">
        <f ca="1"/>
        <v>#NAME?</v>
      </c>
      <c r="X34" s="6" t="str">
        <f t="shared" si="0"/>
        <v>26Y</v>
      </c>
      <c r="Y34" s="6">
        <f t="shared" si="2"/>
        <v>26</v>
      </c>
      <c r="Z34" s="6" t="e" cm="1">
        <f t="array" aca="1" ref="Z34" ca="1">_xll.OracCurvePoint($H$5,$X34,Z$8)</f>
        <v>#NAME?</v>
      </c>
    </row>
    <row r="35" spans="2:26" x14ac:dyDescent="0.25">
      <c r="B35" t="s">
        <v>73</v>
      </c>
      <c r="C35" t="s">
        <v>36</v>
      </c>
      <c r="D35" s="6">
        <f t="shared" si="1"/>
        <v>4.5000000000000005E-3</v>
      </c>
      <c r="E35" s="6">
        <v>0</v>
      </c>
      <c r="F35" s="5">
        <v>100</v>
      </c>
      <c r="G35" s="5">
        <v>0.45</v>
      </c>
      <c r="H35" s="6" t="e" cm="1">
        <f t="array" aca="1" ref="H35" ca="1">_xll.OracPublish(H$3,C35,D35,H$2)</f>
        <v>#NAME?</v>
      </c>
      <c r="I35" s="1" t="e" cm="1">
        <f t="array" aca="1" ref="I35" ca="1">_xll.OracCurvePoint($H$4,$C35,I$8)</f>
        <v>#NAME?</v>
      </c>
      <c r="J35" s="1" t="e" cm="1">
        <f t="array" aca="1" ref="J35" ca="1">_xll.OracCurvePoint($H$4,$C35,J$8)</f>
        <v>#NAME?</v>
      </c>
      <c r="K35" s="2" t="e" cm="1">
        <f t="array" aca="1" ref="K35" ca="1">_xll.OracCurvePoint($H$4,$C35,K$8)</f>
        <v>#NAME?</v>
      </c>
      <c r="L35" s="2" t="e" cm="1">
        <f t="array" aca="1" ref="L35" ca="1">_xll.OracCurvePoint($H$4,$C35,L$8)</f>
        <v>#NAME?</v>
      </c>
      <c r="N35" s="3" t="e">
        <f ca="1"/>
        <v>#NAME?</v>
      </c>
      <c r="O35" s="3" t="e">
        <f ca="1"/>
        <v>#NAME?</v>
      </c>
      <c r="P35" s="2" t="e">
        <f ca="1"/>
        <v>#NAME?</v>
      </c>
      <c r="Q35" s="1" t="e">
        <f ca="1"/>
        <v>#NAME?</v>
      </c>
      <c r="S35" s="7" t="e">
        <f ca="1"/>
        <v>#NAME?</v>
      </c>
      <c r="T35" s="7" t="e">
        <f ca="1"/>
        <v>#NAME?</v>
      </c>
      <c r="U35" s="2" t="e">
        <f ca="1"/>
        <v>#NAME?</v>
      </c>
      <c r="V35" s="6" t="e">
        <f ca="1"/>
        <v>#NAME?</v>
      </c>
      <c r="X35" s="6" t="str">
        <f t="shared" si="0"/>
        <v>27Y</v>
      </c>
      <c r="Y35" s="6">
        <f t="shared" si="2"/>
        <v>27</v>
      </c>
      <c r="Z35" s="6" t="e" cm="1">
        <f t="array" aca="1" ref="Z35" ca="1">_xll.OracCurvePoint($H$5,$X35,Z$8)</f>
        <v>#NAME?</v>
      </c>
    </row>
    <row r="36" spans="2:26" x14ac:dyDescent="0.25">
      <c r="B36" t="s">
        <v>74</v>
      </c>
      <c r="C36" t="s">
        <v>37</v>
      </c>
      <c r="D36" s="6">
        <f t="shared" si="1"/>
        <v>-4.5000000000000005E-3</v>
      </c>
      <c r="E36" s="6">
        <v>0</v>
      </c>
      <c r="F36" s="5">
        <v>100</v>
      </c>
      <c r="G36" s="5">
        <v>-0.45</v>
      </c>
      <c r="H36" s="6" t="e" cm="1">
        <f t="array" aca="1" ref="H36" ca="1">_xll.OracPublish(H$3,C36,D36,H$2)</f>
        <v>#NAME?</v>
      </c>
      <c r="I36" s="1" t="e" cm="1">
        <f t="array" aca="1" ref="I36" ca="1">_xll.OracCurvePoint($H$4,$C36,I$8)</f>
        <v>#NAME?</v>
      </c>
      <c r="J36" s="1" t="e" cm="1">
        <f t="array" aca="1" ref="J36" ca="1">_xll.OracCurvePoint($H$4,$C36,J$8)</f>
        <v>#NAME?</v>
      </c>
      <c r="K36" s="2" t="e" cm="1">
        <f t="array" aca="1" ref="K36" ca="1">_xll.OracCurvePoint($H$4,$C36,K$8)</f>
        <v>#NAME?</v>
      </c>
      <c r="L36" s="2" t="e" cm="1">
        <f t="array" aca="1" ref="L36" ca="1">_xll.OracCurvePoint($H$4,$C36,L$8)</f>
        <v>#NAME?</v>
      </c>
      <c r="N36" s="3" t="e">
        <f ca="1"/>
        <v>#NAME?</v>
      </c>
      <c r="O36" s="3" t="e">
        <f ca="1"/>
        <v>#NAME?</v>
      </c>
      <c r="P36" s="2" t="e">
        <f ca="1"/>
        <v>#NAME?</v>
      </c>
      <c r="Q36" s="1" t="e">
        <f ca="1"/>
        <v>#NAME?</v>
      </c>
      <c r="S36" s="7" t="e">
        <f ca="1"/>
        <v>#NAME?</v>
      </c>
      <c r="T36" s="7" t="e">
        <f ca="1"/>
        <v>#NAME?</v>
      </c>
      <c r="U36" s="2" t="e">
        <f ca="1"/>
        <v>#NAME?</v>
      </c>
      <c r="V36" s="6" t="e">
        <f ca="1"/>
        <v>#NAME?</v>
      </c>
      <c r="X36" s="6" t="str">
        <f t="shared" si="0"/>
        <v>28Y</v>
      </c>
      <c r="Y36" s="6">
        <f t="shared" si="2"/>
        <v>28</v>
      </c>
      <c r="Z36" s="6" t="e" cm="1">
        <f t="array" aca="1" ref="Z36" ca="1">_xll.OracCurvePoint($H$5,$X36,Z$8)</f>
        <v>#NAME?</v>
      </c>
    </row>
    <row r="37" spans="2:26" x14ac:dyDescent="0.25">
      <c r="K37" s="2"/>
      <c r="L37" s="2"/>
      <c r="N37" s="3" t="e">
        <f ca="1"/>
        <v>#NAME?</v>
      </c>
      <c r="O37" s="3" t="e">
        <f ca="1"/>
        <v>#NAME?</v>
      </c>
      <c r="P37" s="2" t="e">
        <f ca="1"/>
        <v>#NAME?</v>
      </c>
      <c r="Q37" s="1" t="e">
        <f ca="1"/>
        <v>#NAME?</v>
      </c>
      <c r="S37" s="7" t="e">
        <f ca="1"/>
        <v>#NAME?</v>
      </c>
      <c r="T37" s="7" t="e">
        <f ca="1"/>
        <v>#NAME?</v>
      </c>
      <c r="U37" s="2" t="e">
        <f ca="1"/>
        <v>#NAME?</v>
      </c>
      <c r="V37" s="6" t="e">
        <f ca="1"/>
        <v>#NAME?</v>
      </c>
      <c r="X37" s="6" t="str">
        <f t="shared" si="0"/>
        <v>29Y</v>
      </c>
      <c r="Y37" s="6">
        <f t="shared" si="2"/>
        <v>29</v>
      </c>
      <c r="Z37" s="6" t="e" cm="1">
        <f t="array" aca="1" ref="Z37" ca="1">_xll.OracCurvePoint($H$5,$X37,Z$8)</f>
        <v>#NAME?</v>
      </c>
    </row>
    <row r="38" spans="2:26" x14ac:dyDescent="0.25">
      <c r="B38" t="s">
        <v>75</v>
      </c>
      <c r="C38" t="s">
        <v>38</v>
      </c>
      <c r="D38" s="6">
        <f t="shared" si="1"/>
        <v>-5.13E-3</v>
      </c>
      <c r="E38" s="6">
        <v>0</v>
      </c>
      <c r="F38" s="5">
        <v>100</v>
      </c>
      <c r="G38" s="5">
        <v>-0.51300000000000001</v>
      </c>
      <c r="H38" s="6" t="e" cm="1">
        <f t="array" aca="1" ref="H38" ca="1">_xll.OracPublish(H$3,C38,D38,H$2)</f>
        <v>#NAME?</v>
      </c>
      <c r="I38" s="1" t="e" cm="1">
        <f t="array" aca="1" ref="I38" ca="1">_xll.OracCurvePoint($H$4,$C38,I$8)</f>
        <v>#NAME?</v>
      </c>
      <c r="J38" s="1" t="e" cm="1">
        <f t="array" aca="1" ref="J38" ca="1">_xll.OracCurvePoint($H$4,$C38,J$8)</f>
        <v>#NAME?</v>
      </c>
      <c r="K38" s="2" t="e" cm="1">
        <f t="array" aca="1" ref="K38" ca="1">_xll.OracCurvePoint($H$4,$C38,K$8)</f>
        <v>#NAME?</v>
      </c>
      <c r="L38" s="2" t="e" cm="1">
        <f t="array" aca="1" ref="L38" ca="1">_xll.OracCurvePoint($H$4,$C38,L$8)</f>
        <v>#NAME?</v>
      </c>
      <c r="N38" s="3" t="e">
        <f ca="1"/>
        <v>#NAME?</v>
      </c>
      <c r="O38" s="3" t="e">
        <f ca="1"/>
        <v>#NAME?</v>
      </c>
      <c r="P38" s="2" t="e">
        <f ca="1"/>
        <v>#NAME?</v>
      </c>
      <c r="Q38" s="1" t="e">
        <f ca="1"/>
        <v>#NAME?</v>
      </c>
      <c r="S38" s="7" t="e">
        <f ca="1"/>
        <v>#NAME?</v>
      </c>
      <c r="T38" s="7" t="e">
        <f ca="1"/>
        <v>#NAME?</v>
      </c>
      <c r="U38" s="2" t="e">
        <f ca="1"/>
        <v>#NAME?</v>
      </c>
      <c r="V38" s="6" t="e">
        <f ca="1"/>
        <v>#NAME?</v>
      </c>
      <c r="X38" s="6" t="str">
        <f t="shared" si="0"/>
        <v>30Y</v>
      </c>
      <c r="Y38" s="6">
        <f t="shared" si="2"/>
        <v>30</v>
      </c>
      <c r="Z38" s="6" t="e" cm="1">
        <f t="array" aca="1" ref="Z38" ca="1">_xll.OracCurvePoint($H$5,$X38,Z$8)</f>
        <v>#NAME?</v>
      </c>
    </row>
    <row r="39" spans="2:26" x14ac:dyDescent="0.25">
      <c r="B39" t="s">
        <v>76</v>
      </c>
      <c r="C39" t="s">
        <v>39</v>
      </c>
      <c r="D39" s="6">
        <f t="shared" si="1"/>
        <v>-5.2849999999999998E-3</v>
      </c>
      <c r="E39" s="6">
        <v>0</v>
      </c>
      <c r="F39" s="5">
        <v>100</v>
      </c>
      <c r="G39" s="5">
        <v>-0.52849999999999997</v>
      </c>
      <c r="H39" s="6" t="e" cm="1">
        <f t="array" aca="1" ref="H39" ca="1">_xll.OracPublish(H$3,C39,D39,H$2)</f>
        <v>#NAME?</v>
      </c>
      <c r="I39" s="6" t="e" cm="1">
        <f t="array" aca="1" ref="I39" ca="1">_xll.OracCurvePoint($H$4,$C39,I$8)</f>
        <v>#NAME?</v>
      </c>
      <c r="J39" s="6" t="e" cm="1">
        <f t="array" aca="1" ref="J39" ca="1">_xll.OracCurvePoint($H$4,$C39,J$8)</f>
        <v>#NAME?</v>
      </c>
      <c r="K39" s="2" t="e" cm="1">
        <f t="array" aca="1" ref="K39" ca="1">_xll.OracCurvePoint($H$4,$C39,K$8)</f>
        <v>#NAME?</v>
      </c>
      <c r="L39" s="2" t="e" cm="1">
        <f t="array" aca="1" ref="L39" ca="1">_xll.OracCurvePoint($H$4,$C39,L$8)</f>
        <v>#NAME?</v>
      </c>
      <c r="N39" s="3" t="e">
        <f ca="1"/>
        <v>#NAME?</v>
      </c>
      <c r="O39" s="3" t="e">
        <f ca="1"/>
        <v>#NAME?</v>
      </c>
      <c r="P39" s="2" t="e">
        <f ca="1"/>
        <v>#NAME?</v>
      </c>
      <c r="Q39" s="1" t="e">
        <f ca="1"/>
        <v>#NAME?</v>
      </c>
      <c r="S39" s="7" t="e">
        <f ca="1"/>
        <v>#NAME?</v>
      </c>
      <c r="T39" s="7" t="e">
        <f ca="1"/>
        <v>#NAME?</v>
      </c>
      <c r="U39" s="2" t="e">
        <f ca="1"/>
        <v>#NAME?</v>
      </c>
      <c r="V39" s="6" t="e">
        <f ca="1"/>
        <v>#NAME?</v>
      </c>
      <c r="X39" s="6" t="str">
        <f t="shared" si="0"/>
        <v>31Y</v>
      </c>
      <c r="Y39" s="6">
        <f t="shared" si="2"/>
        <v>31</v>
      </c>
      <c r="Z39" s="6" t="e" cm="1">
        <f t="array" aca="1" ref="Z39" ca="1">_xll.OracCurvePoint($H$5,$X39,Z$8)</f>
        <v>#NAME?</v>
      </c>
    </row>
    <row r="40" spans="2:26" x14ac:dyDescent="0.25">
      <c r="B40" t="s">
        <v>77</v>
      </c>
      <c r="C40" t="s">
        <v>40</v>
      </c>
      <c r="D40" s="6">
        <f t="shared" si="1"/>
        <v>-5.2300000000000003E-3</v>
      </c>
      <c r="E40" s="6">
        <v>0</v>
      </c>
      <c r="F40" s="5">
        <v>100</v>
      </c>
      <c r="G40" s="5">
        <v>-0.52300000000000002</v>
      </c>
      <c r="H40" s="6" t="e" cm="1">
        <f t="array" aca="1" ref="H40" ca="1">_xll.OracPublish(H$3,C40,D40,H$2)</f>
        <v>#NAME?</v>
      </c>
      <c r="I40" s="6" t="e" cm="1">
        <f t="array" aca="1" ref="I40" ca="1">_xll.OracCurvePoint($H$4,$C40,I$8)</f>
        <v>#NAME?</v>
      </c>
      <c r="J40" s="6" t="e" cm="1">
        <f t="array" aca="1" ref="J40" ca="1">_xll.OracCurvePoint($H$4,$C40,J$8)</f>
        <v>#NAME?</v>
      </c>
      <c r="K40" s="2" t="e" cm="1">
        <f t="array" aca="1" ref="K40" ca="1">_xll.OracCurvePoint($H$4,$C40,K$8)</f>
        <v>#NAME?</v>
      </c>
      <c r="L40" s="2" t="e" cm="1">
        <f t="array" aca="1" ref="L40" ca="1">_xll.OracCurvePoint($H$4,$C40,L$8)</f>
        <v>#NAME?</v>
      </c>
      <c r="N40" s="3" t="e">
        <f ca="1"/>
        <v>#NAME?</v>
      </c>
      <c r="O40" s="3" t="e">
        <f ca="1"/>
        <v>#NAME?</v>
      </c>
      <c r="P40" s="2" t="e">
        <f ca="1"/>
        <v>#NAME?</v>
      </c>
      <c r="Q40" s="1" t="e">
        <f ca="1"/>
        <v>#NAME?</v>
      </c>
      <c r="S40" s="7" t="e">
        <f ca="1"/>
        <v>#NAME?</v>
      </c>
      <c r="T40" s="7" t="e">
        <f ca="1"/>
        <v>#NAME?</v>
      </c>
      <c r="U40" s="2" t="e">
        <f ca="1"/>
        <v>#NAME?</v>
      </c>
      <c r="V40" s="6" t="e">
        <f ca="1"/>
        <v>#NAME?</v>
      </c>
      <c r="X40" s="6" t="str">
        <f t="shared" si="0"/>
        <v>32Y</v>
      </c>
      <c r="Y40" s="6">
        <f t="shared" si="2"/>
        <v>32</v>
      </c>
      <c r="Z40" s="6" t="e" cm="1">
        <f t="array" aca="1" ref="Z40" ca="1">_xll.OracCurvePoint($H$5,$X40,Z$8)</f>
        <v>#NAME?</v>
      </c>
    </row>
    <row r="41" spans="2:26" x14ac:dyDescent="0.25">
      <c r="B41" t="s">
        <v>78</v>
      </c>
      <c r="C41" t="s">
        <v>41</v>
      </c>
      <c r="D41" s="6">
        <f t="shared" si="1"/>
        <v>-5.1400000000000005E-3</v>
      </c>
      <c r="E41" s="6">
        <v>0</v>
      </c>
      <c r="F41" s="5">
        <v>100</v>
      </c>
      <c r="G41" s="5">
        <v>-0.51400000000000001</v>
      </c>
      <c r="H41" s="6" t="e" cm="1">
        <f t="array" aca="1" ref="H41" ca="1">_xll.OracPublish(H$3,C41,D41,H$2)</f>
        <v>#NAME?</v>
      </c>
      <c r="I41" s="6" t="e" cm="1">
        <f t="array" aca="1" ref="I41" ca="1">_xll.OracCurvePoint($H$4,$C41,I$8)</f>
        <v>#NAME?</v>
      </c>
      <c r="J41" s="6" t="e" cm="1">
        <f t="array" aca="1" ref="J41" ca="1">_xll.OracCurvePoint($H$4,$C41,J$8)</f>
        <v>#NAME?</v>
      </c>
      <c r="K41" s="2" t="e" cm="1">
        <f t="array" aca="1" ref="K41" ca="1">_xll.OracCurvePoint($H$4,$C41,K$8)</f>
        <v>#NAME?</v>
      </c>
      <c r="L41" s="2" t="e" cm="1">
        <f t="array" aca="1" ref="L41" ca="1">_xll.OracCurvePoint($H$4,$C41,L$8)</f>
        <v>#NAME?</v>
      </c>
      <c r="N41" s="3" t="e">
        <f ca="1"/>
        <v>#NAME?</v>
      </c>
      <c r="O41" s="3" t="e">
        <f ca="1"/>
        <v>#NAME?</v>
      </c>
      <c r="P41" s="2" t="e">
        <f ca="1"/>
        <v>#NAME?</v>
      </c>
      <c r="Q41" s="1" t="e">
        <f ca="1"/>
        <v>#NAME?</v>
      </c>
      <c r="S41" s="7" t="e">
        <f ca="1"/>
        <v>#NAME?</v>
      </c>
      <c r="T41" s="7" t="e">
        <f ca="1"/>
        <v>#NAME?</v>
      </c>
      <c r="U41" s="2" t="e">
        <f ca="1"/>
        <v>#NAME?</v>
      </c>
      <c r="V41" s="6" t="e">
        <f ca="1"/>
        <v>#NAME?</v>
      </c>
      <c r="X41" s="6" t="str">
        <f t="shared" ref="X41:X58" si="3">Y41&amp;"Y"</f>
        <v>33Y</v>
      </c>
      <c r="Y41" s="6">
        <f t="shared" si="2"/>
        <v>33</v>
      </c>
      <c r="Z41" s="6" t="e" cm="1">
        <f t="array" aca="1" ref="Z41" ca="1">_xll.OracCurvePoint($H$5,$X41,Z$8)</f>
        <v>#NAME?</v>
      </c>
    </row>
    <row r="42" spans="2:26" x14ac:dyDescent="0.25">
      <c r="B42" t="s">
        <v>79</v>
      </c>
      <c r="C42" t="s">
        <v>42</v>
      </c>
      <c r="D42" s="6">
        <f t="shared" si="1"/>
        <v>-4.8900000000000002E-3</v>
      </c>
      <c r="E42" s="6">
        <v>0</v>
      </c>
      <c r="F42" s="5">
        <v>100</v>
      </c>
      <c r="G42" s="5">
        <v>-0.48899999999999999</v>
      </c>
      <c r="H42" s="6" t="e" cm="1">
        <f t="array" aca="1" ref="H42" ca="1">_xll.OracPublish(H$3,C42,D42,H$2)</f>
        <v>#NAME?</v>
      </c>
      <c r="I42" s="6" t="e" cm="1">
        <f t="array" aca="1" ref="I42" ca="1">_xll.OracCurvePoint($H$4,$C42,I$8)</f>
        <v>#NAME?</v>
      </c>
      <c r="J42" s="6" t="e" cm="1">
        <f t="array" aca="1" ref="J42" ca="1">_xll.OracCurvePoint($H$4,$C42,J$8)</f>
        <v>#NAME?</v>
      </c>
      <c r="K42" s="2" t="e" cm="1">
        <f t="array" aca="1" ref="K42" ca="1">_xll.OracCurvePoint($H$4,$C42,K$8)</f>
        <v>#NAME?</v>
      </c>
      <c r="L42" s="2" t="e" cm="1">
        <f t="array" aca="1" ref="L42" ca="1">_xll.OracCurvePoint($H$4,$C42,L$8)</f>
        <v>#NAME?</v>
      </c>
      <c r="N42" s="3" t="e">
        <f ca="1"/>
        <v>#NAME?</v>
      </c>
      <c r="O42" s="3" t="e">
        <f ca="1"/>
        <v>#NAME?</v>
      </c>
      <c r="P42" s="2" t="e">
        <f ca="1"/>
        <v>#NAME?</v>
      </c>
      <c r="Q42" s="1" t="e">
        <f ca="1"/>
        <v>#NAME?</v>
      </c>
      <c r="S42" s="7" t="e">
        <f ca="1"/>
        <v>#NAME?</v>
      </c>
      <c r="T42" s="7" t="e">
        <f ca="1"/>
        <v>#NAME?</v>
      </c>
      <c r="U42" s="2" t="e">
        <f ca="1"/>
        <v>#NAME?</v>
      </c>
      <c r="V42" s="6" t="e">
        <f ca="1"/>
        <v>#NAME?</v>
      </c>
      <c r="X42" s="6" t="str">
        <f t="shared" si="3"/>
        <v>34Y</v>
      </c>
      <c r="Y42" s="6">
        <f t="shared" si="2"/>
        <v>34</v>
      </c>
      <c r="Z42" s="6" t="e" cm="1">
        <f t="array" aca="1" ref="Z42" ca="1">_xll.OracCurvePoint($H$5,$X42,Z$8)</f>
        <v>#NAME?</v>
      </c>
    </row>
    <row r="43" spans="2:26" x14ac:dyDescent="0.25">
      <c r="B43" t="s">
        <v>80</v>
      </c>
      <c r="C43" t="s">
        <v>43</v>
      </c>
      <c r="D43" s="6">
        <f t="shared" si="1"/>
        <v>-4.5700000000000003E-3</v>
      </c>
      <c r="E43" s="6">
        <v>0</v>
      </c>
      <c r="F43" s="5">
        <v>100</v>
      </c>
      <c r="G43" s="5">
        <v>-0.45700000000000002</v>
      </c>
      <c r="H43" s="6" t="e" cm="1">
        <f t="array" aca="1" ref="H43" ca="1">_xll.OracPublish(H$3,C43,D43,H$2)</f>
        <v>#NAME?</v>
      </c>
      <c r="I43" s="6" t="e" cm="1">
        <f t="array" aca="1" ref="I43" ca="1">_xll.OracCurvePoint($H$4,$C43,I$8)</f>
        <v>#NAME?</v>
      </c>
      <c r="J43" s="6" t="e" cm="1">
        <f t="array" aca="1" ref="J43" ca="1">_xll.OracCurvePoint($H$4,$C43,J$8)</f>
        <v>#NAME?</v>
      </c>
      <c r="K43" s="2" t="e" cm="1">
        <f t="array" aca="1" ref="K43" ca="1">_xll.OracCurvePoint($H$4,$C43,K$8)</f>
        <v>#NAME?</v>
      </c>
      <c r="L43" s="2" t="e" cm="1">
        <f t="array" aca="1" ref="L43" ca="1">_xll.OracCurvePoint($H$4,$C43,L$8)</f>
        <v>#NAME?</v>
      </c>
      <c r="N43" s="3" t="e">
        <f ca="1"/>
        <v>#NAME?</v>
      </c>
      <c r="O43" s="3" t="e">
        <f ca="1"/>
        <v>#NAME?</v>
      </c>
      <c r="P43" s="2" t="e">
        <f ca="1"/>
        <v>#NAME?</v>
      </c>
      <c r="Q43" s="1" t="e">
        <f ca="1"/>
        <v>#NAME?</v>
      </c>
      <c r="S43" s="7" t="e">
        <f ca="1"/>
        <v>#NAME?</v>
      </c>
      <c r="T43" s="7" t="e">
        <f ca="1"/>
        <v>#NAME?</v>
      </c>
      <c r="U43" s="2" t="e">
        <f ca="1"/>
        <v>#NAME?</v>
      </c>
      <c r="V43" s="6" t="e">
        <f ca="1"/>
        <v>#NAME?</v>
      </c>
      <c r="X43" s="6" t="str">
        <f t="shared" si="3"/>
        <v>35Y</v>
      </c>
      <c r="Y43" s="6">
        <f t="shared" si="2"/>
        <v>35</v>
      </c>
      <c r="Z43" s="6" t="e" cm="1">
        <f t="array" aca="1" ref="Z43" ca="1">_xll.OracCurvePoint($H$5,$X43,Z$8)</f>
        <v>#NAME?</v>
      </c>
    </row>
    <row r="44" spans="2:26" x14ac:dyDescent="0.25">
      <c r="B44" t="s">
        <v>81</v>
      </c>
      <c r="C44" t="s">
        <v>44</v>
      </c>
      <c r="D44" s="6">
        <f t="shared" si="1"/>
        <v>-3.81E-3</v>
      </c>
      <c r="E44" s="6">
        <v>0</v>
      </c>
      <c r="F44" s="5">
        <v>100</v>
      </c>
      <c r="G44" s="5">
        <v>-0.38100000000000001</v>
      </c>
      <c r="H44" s="6" t="e" cm="1">
        <f t="array" aca="1" ref="H44" ca="1">_xll.OracPublish(H$3,C44,D44,H$2)</f>
        <v>#NAME?</v>
      </c>
      <c r="I44" s="6" t="e" cm="1">
        <f t="array" aca="1" ref="I44" ca="1">_xll.OracCurvePoint($H$4,$C44,I$8)</f>
        <v>#NAME?</v>
      </c>
      <c r="J44" s="6" t="e" cm="1">
        <f t="array" aca="1" ref="J44" ca="1">_xll.OracCurvePoint($H$4,$C44,J$8)</f>
        <v>#NAME?</v>
      </c>
      <c r="K44" s="2" t="e" cm="1">
        <f t="array" aca="1" ref="K44" ca="1">_xll.OracCurvePoint($H$4,$C44,K$8)</f>
        <v>#NAME?</v>
      </c>
      <c r="L44" s="2" t="e" cm="1">
        <f t="array" aca="1" ref="L44" ca="1">_xll.OracCurvePoint($H$4,$C44,L$8)</f>
        <v>#NAME?</v>
      </c>
      <c r="N44" s="3" t="e">
        <f ca="1"/>
        <v>#NAME?</v>
      </c>
      <c r="O44" s="3" t="e">
        <f ca="1"/>
        <v>#NAME?</v>
      </c>
      <c r="P44" s="2" t="e">
        <f ca="1"/>
        <v>#NAME?</v>
      </c>
      <c r="Q44" s="1" t="e">
        <f ca="1"/>
        <v>#NAME?</v>
      </c>
      <c r="S44" s="7" t="e">
        <f ca="1"/>
        <v>#NAME?</v>
      </c>
      <c r="T44" s="7" t="e">
        <f ca="1"/>
        <v>#NAME?</v>
      </c>
      <c r="U44" s="2" t="e">
        <f ca="1"/>
        <v>#NAME?</v>
      </c>
      <c r="V44" s="6" t="e">
        <f ca="1"/>
        <v>#NAME?</v>
      </c>
      <c r="X44" s="6" t="str">
        <f t="shared" si="3"/>
        <v>36Y</v>
      </c>
      <c r="Y44" s="6">
        <f t="shared" si="2"/>
        <v>36</v>
      </c>
      <c r="Z44" s="6" t="e" cm="1">
        <f t="array" aca="1" ref="Z44" ca="1">_xll.OracCurvePoint($H$5,$X44,Z$8)</f>
        <v>#NAME?</v>
      </c>
    </row>
    <row r="45" spans="2:26" x14ac:dyDescent="0.25">
      <c r="B45" t="s">
        <v>82</v>
      </c>
      <c r="C45" t="s">
        <v>45</v>
      </c>
      <c r="D45" s="6">
        <f t="shared" si="1"/>
        <v>-2.4399999999999999E-3</v>
      </c>
      <c r="E45" s="6">
        <v>0</v>
      </c>
      <c r="F45" s="5">
        <v>100</v>
      </c>
      <c r="G45" s="5">
        <v>-0.24399999999999999</v>
      </c>
      <c r="H45" s="6" t="e" cm="1">
        <f t="array" aca="1" ref="H45" ca="1">_xll.OracPublish(H$3,C45,D45,H$2)</f>
        <v>#NAME?</v>
      </c>
      <c r="I45" s="6" t="e" cm="1">
        <f t="array" aca="1" ref="I45" ca="1">_xll.OracCurvePoint($H$4,$C45,I$8)</f>
        <v>#NAME?</v>
      </c>
      <c r="J45" s="6" t="e" cm="1">
        <f t="array" aca="1" ref="J45" ca="1">_xll.OracCurvePoint($H$4,$C45,J$8)</f>
        <v>#NAME?</v>
      </c>
      <c r="K45" s="2" t="e" cm="1">
        <f t="array" aca="1" ref="K45" ca="1">_xll.OracCurvePoint($H$4,$C45,K$8)</f>
        <v>#NAME?</v>
      </c>
      <c r="L45" s="2" t="e" cm="1">
        <f t="array" aca="1" ref="L45" ca="1">_xll.OracCurvePoint($H$4,$C45,L$8)</f>
        <v>#NAME?</v>
      </c>
      <c r="N45" s="3" t="e">
        <f ca="1"/>
        <v>#NAME?</v>
      </c>
      <c r="O45" s="3" t="e">
        <f ca="1"/>
        <v>#NAME?</v>
      </c>
      <c r="P45" s="2" t="e">
        <f ca="1"/>
        <v>#NAME?</v>
      </c>
      <c r="Q45" s="1" t="e">
        <f ca="1"/>
        <v>#NAME?</v>
      </c>
      <c r="S45" s="7" t="e">
        <f ca="1"/>
        <v>#NAME?</v>
      </c>
      <c r="T45" s="7" t="e">
        <f ca="1"/>
        <v>#NAME?</v>
      </c>
      <c r="U45" s="2" t="e">
        <f ca="1"/>
        <v>#NAME?</v>
      </c>
      <c r="V45" s="6" t="e">
        <f ca="1"/>
        <v>#NAME?</v>
      </c>
      <c r="X45" s="6" t="str">
        <f t="shared" si="3"/>
        <v>37Y</v>
      </c>
      <c r="Y45" s="6">
        <f t="shared" si="2"/>
        <v>37</v>
      </c>
      <c r="Z45" s="6" t="e" cm="1">
        <f t="array" aca="1" ref="Z45" ca="1">_xll.OracCurvePoint($H$5,$X45,Z$8)</f>
        <v>#NAME?</v>
      </c>
    </row>
    <row r="46" spans="2:26" x14ac:dyDescent="0.25">
      <c r="B46" t="s">
        <v>83</v>
      </c>
      <c r="C46" t="s">
        <v>46</v>
      </c>
      <c r="D46" s="6">
        <f t="shared" si="1"/>
        <v>-5.2999999999999998E-4</v>
      </c>
      <c r="E46" s="6">
        <v>0</v>
      </c>
      <c r="F46" s="5">
        <v>100</v>
      </c>
      <c r="G46" s="5">
        <v>-5.2999999999999999E-2</v>
      </c>
      <c r="H46" s="6" t="e" cm="1">
        <f t="array" aca="1" ref="H46" ca="1">_xll.OracPublish(H$3,C46,D46,H$2)</f>
        <v>#NAME?</v>
      </c>
      <c r="I46" s="6" t="e" cm="1">
        <f t="array" aca="1" ref="I46" ca="1">_xll.OracCurvePoint($H$4,$C46,I$8)</f>
        <v>#NAME?</v>
      </c>
      <c r="J46" s="6" t="e" cm="1">
        <f t="array" aca="1" ref="J46" ca="1">_xll.OracCurvePoint($H$4,$C46,J$8)</f>
        <v>#NAME?</v>
      </c>
      <c r="K46" s="2" t="e" cm="1">
        <f t="array" aca="1" ref="K46" ca="1">_xll.OracCurvePoint($H$4,$C46,K$8)</f>
        <v>#NAME?</v>
      </c>
      <c r="L46" s="2" t="e" cm="1">
        <f t="array" aca="1" ref="L46" ca="1">_xll.OracCurvePoint($H$4,$C46,L$8)</f>
        <v>#NAME?</v>
      </c>
      <c r="N46" s="3" t="e">
        <f ca="1"/>
        <v>#NAME?</v>
      </c>
      <c r="O46" s="3" t="e">
        <f ca="1"/>
        <v>#NAME?</v>
      </c>
      <c r="P46" s="2" t="e">
        <f ca="1"/>
        <v>#NAME?</v>
      </c>
      <c r="Q46" s="1" t="e">
        <f ca="1"/>
        <v>#NAME?</v>
      </c>
      <c r="S46" s="7" t="e">
        <f ca="1"/>
        <v>#NAME?</v>
      </c>
      <c r="T46" s="7" t="e">
        <f ca="1"/>
        <v>#NAME?</v>
      </c>
      <c r="U46" s="2" t="e">
        <f ca="1"/>
        <v>#NAME?</v>
      </c>
      <c r="V46" s="6" t="e">
        <f ca="1"/>
        <v>#NAME?</v>
      </c>
      <c r="X46" s="6" t="str">
        <f t="shared" si="3"/>
        <v>38Y</v>
      </c>
      <c r="Y46" s="6">
        <f t="shared" si="2"/>
        <v>38</v>
      </c>
      <c r="Z46" s="6" t="e" cm="1">
        <f t="array" aca="1" ref="Z46" ca="1">_xll.OracCurvePoint($H$5,$X46,Z$8)</f>
        <v>#NAME?</v>
      </c>
    </row>
    <row r="47" spans="2:26" x14ac:dyDescent="0.25">
      <c r="B47" t="s">
        <v>84</v>
      </c>
      <c r="C47" t="s">
        <v>47</v>
      </c>
      <c r="D47" s="6">
        <f t="shared" si="1"/>
        <v>2.7E-4</v>
      </c>
      <c r="E47" s="6">
        <v>0</v>
      </c>
      <c r="F47" s="5">
        <v>100</v>
      </c>
      <c r="G47" s="5">
        <v>2.7E-2</v>
      </c>
      <c r="H47" s="6" t="e" cm="1">
        <f t="array" aca="1" ref="H47" ca="1">_xll.OracPublish(H$3,C47,D47,H$2)</f>
        <v>#NAME?</v>
      </c>
      <c r="I47" s="6" t="e" cm="1">
        <f t="array" aca="1" ref="I47" ca="1">_xll.OracCurvePoint($H$4,$C47,I$8)</f>
        <v>#NAME?</v>
      </c>
      <c r="J47" s="6" t="e" cm="1">
        <f t="array" aca="1" ref="J47" ca="1">_xll.OracCurvePoint($H$4,$C47,J$8)</f>
        <v>#NAME?</v>
      </c>
      <c r="K47" s="2" t="e" cm="1">
        <f t="array" aca="1" ref="K47" ca="1">_xll.OracCurvePoint($H$4,$C47,K$8)</f>
        <v>#NAME?</v>
      </c>
      <c r="L47" s="2" t="e" cm="1">
        <f t="array" aca="1" ref="L47" ca="1">_xll.OracCurvePoint($H$4,$C47,L$8)</f>
        <v>#NAME?</v>
      </c>
      <c r="N47" s="3" t="e">
        <f ca="1"/>
        <v>#NAME?</v>
      </c>
      <c r="O47" s="3" t="e">
        <f ca="1"/>
        <v>#NAME?</v>
      </c>
      <c r="P47" s="2" t="e">
        <f ca="1"/>
        <v>#NAME?</v>
      </c>
      <c r="Q47" s="1" t="e">
        <f ca="1"/>
        <v>#NAME?</v>
      </c>
      <c r="S47" s="7" t="e">
        <f ca="1"/>
        <v>#NAME?</v>
      </c>
      <c r="T47" s="7" t="e">
        <f ca="1"/>
        <v>#NAME?</v>
      </c>
      <c r="U47" s="2" t="e">
        <f ca="1"/>
        <v>#NAME?</v>
      </c>
      <c r="V47" s="6" t="e">
        <f ca="1"/>
        <v>#NAME?</v>
      </c>
      <c r="X47" s="6" t="str">
        <f t="shared" si="3"/>
        <v>39Y</v>
      </c>
      <c r="Y47" s="6">
        <f t="shared" si="2"/>
        <v>39</v>
      </c>
      <c r="Z47" s="6" t="e" cm="1">
        <f t="array" aca="1" ref="Z47" ca="1">_xll.OracCurvePoint($H$5,$X47,Z$8)</f>
        <v>#NAME?</v>
      </c>
    </row>
    <row r="48" spans="2:26" x14ac:dyDescent="0.25">
      <c r="B48" t="s">
        <v>85</v>
      </c>
      <c r="C48" t="s">
        <v>48</v>
      </c>
      <c r="D48" s="6">
        <f t="shared" si="1"/>
        <v>3.0000000000000001E-5</v>
      </c>
      <c r="E48" s="6">
        <v>0</v>
      </c>
      <c r="F48" s="5">
        <v>100</v>
      </c>
      <c r="G48" s="5">
        <v>3.0000000000000001E-3</v>
      </c>
      <c r="H48" s="6" t="e" cm="1">
        <f t="array" aca="1" ref="H48" ca="1">_xll.OracPublish(H$3,C48,D48,H$2)</f>
        <v>#NAME?</v>
      </c>
      <c r="I48" s="6" t="e" cm="1">
        <f t="array" aca="1" ref="I48" ca="1">_xll.OracCurvePoint($H$4,$C48,I$8)</f>
        <v>#NAME?</v>
      </c>
      <c r="J48" s="6" t="e" cm="1">
        <f t="array" aca="1" ref="J48" ca="1">_xll.OracCurvePoint($H$4,$C48,J$8)</f>
        <v>#NAME?</v>
      </c>
      <c r="K48" s="2" t="e" cm="1">
        <f t="array" aca="1" ref="K48" ca="1">_xll.OracCurvePoint($H$4,$C48,K$8)</f>
        <v>#NAME?</v>
      </c>
      <c r="L48" s="2" t="e" cm="1">
        <f t="array" aca="1" ref="L48" ca="1">_xll.OracCurvePoint($H$4,$C48,L$8)</f>
        <v>#NAME?</v>
      </c>
      <c r="N48" s="3" t="e">
        <f ca="1"/>
        <v>#NAME?</v>
      </c>
      <c r="O48" s="3" t="e">
        <f ca="1"/>
        <v>#NAME?</v>
      </c>
      <c r="P48" s="2" t="e">
        <f ca="1"/>
        <v>#NAME?</v>
      </c>
      <c r="Q48" s="1" t="e">
        <f ca="1"/>
        <v>#NAME?</v>
      </c>
      <c r="S48" s="7" t="e">
        <f ca="1"/>
        <v>#NAME?</v>
      </c>
      <c r="T48" s="7" t="e">
        <f ca="1"/>
        <v>#NAME?</v>
      </c>
      <c r="U48" s="2" t="e">
        <f ca="1"/>
        <v>#NAME?</v>
      </c>
      <c r="V48" s="6" t="e">
        <f ca="1"/>
        <v>#NAME?</v>
      </c>
      <c r="X48" s="6" t="str">
        <f t="shared" si="3"/>
        <v>40Y</v>
      </c>
      <c r="Y48" s="6">
        <f t="shared" si="2"/>
        <v>40</v>
      </c>
      <c r="Z48" s="6" t="e" cm="1">
        <f t="array" aca="1" ref="Z48" ca="1">_xll.OracCurvePoint($H$5,$X48,Z$8)</f>
        <v>#NAME?</v>
      </c>
    </row>
    <row r="49" spans="16:26" x14ac:dyDescent="0.25">
      <c r="P49" s="2"/>
      <c r="S49" s="7" t="e">
        <f ca="1"/>
        <v>#NAME?</v>
      </c>
      <c r="T49" s="7" t="e">
        <f ca="1"/>
        <v>#NAME?</v>
      </c>
      <c r="U49" s="2" t="e">
        <f ca="1"/>
        <v>#NAME?</v>
      </c>
      <c r="V49" s="6" t="e">
        <f ca="1"/>
        <v>#NAME?</v>
      </c>
      <c r="X49" s="6" t="str">
        <f t="shared" si="3"/>
        <v>41Y</v>
      </c>
      <c r="Y49" s="6">
        <f t="shared" si="2"/>
        <v>41</v>
      </c>
      <c r="Z49" s="6" t="e" cm="1">
        <f t="array" aca="1" ref="Z49" ca="1">_xll.OracCurvePoint($H$5,$X49,Z$8)</f>
        <v>#NAME?</v>
      </c>
    </row>
    <row r="50" spans="16:26" x14ac:dyDescent="0.25">
      <c r="P50" s="2"/>
      <c r="S50" s="7" t="e">
        <f ca="1"/>
        <v>#NAME?</v>
      </c>
      <c r="T50" s="7" t="e">
        <f ca="1"/>
        <v>#NAME?</v>
      </c>
      <c r="U50" s="2" t="e">
        <f ca="1"/>
        <v>#NAME?</v>
      </c>
      <c r="V50" s="6" t="e">
        <f ca="1"/>
        <v>#NAME?</v>
      </c>
      <c r="X50" s="6" t="str">
        <f t="shared" si="3"/>
        <v>42Y</v>
      </c>
      <c r="Y50" s="6">
        <f t="shared" si="2"/>
        <v>42</v>
      </c>
      <c r="Z50" s="6" t="e" cm="1">
        <f t="array" aca="1" ref="Z50" ca="1">_xll.OracCurvePoint($H$5,$X50,Z$8)</f>
        <v>#NAME?</v>
      </c>
    </row>
    <row r="51" spans="16:26" x14ac:dyDescent="0.25">
      <c r="P51" s="2"/>
      <c r="S51" s="7" t="e">
        <f ca="1"/>
        <v>#NAME?</v>
      </c>
      <c r="T51" s="7" t="e">
        <f ca="1"/>
        <v>#NAME?</v>
      </c>
      <c r="U51" s="2" t="e">
        <f ca="1"/>
        <v>#NAME?</v>
      </c>
      <c r="V51" s="6" t="e">
        <f ca="1"/>
        <v>#NAME?</v>
      </c>
      <c r="X51" s="6" t="str">
        <f t="shared" si="3"/>
        <v>43Y</v>
      </c>
      <c r="Y51" s="6">
        <f t="shared" si="2"/>
        <v>43</v>
      </c>
      <c r="Z51" s="6" t="e" cm="1">
        <f t="array" aca="1" ref="Z51" ca="1">_xll.OracCurvePoint($H$5,$X51,Z$8)</f>
        <v>#NAME?</v>
      </c>
    </row>
    <row r="52" spans="16:26" x14ac:dyDescent="0.25">
      <c r="P52" s="2"/>
      <c r="S52" s="7" t="e">
        <f ca="1"/>
        <v>#NAME?</v>
      </c>
      <c r="T52" s="7" t="e">
        <f ca="1"/>
        <v>#NAME?</v>
      </c>
      <c r="U52" s="2" t="e">
        <f ca="1"/>
        <v>#NAME?</v>
      </c>
      <c r="V52" s="6" t="e">
        <f ca="1"/>
        <v>#NAME?</v>
      </c>
      <c r="X52" s="6" t="str">
        <f t="shared" si="3"/>
        <v>44Y</v>
      </c>
      <c r="Y52" s="6">
        <f t="shared" si="2"/>
        <v>44</v>
      </c>
      <c r="Z52" s="6" t="e" cm="1">
        <f t="array" aca="1" ref="Z52" ca="1">_xll.OracCurvePoint($H$5,$X52,Z$8)</f>
        <v>#NAME?</v>
      </c>
    </row>
    <row r="53" spans="16:26" x14ac:dyDescent="0.25">
      <c r="P53" s="2"/>
      <c r="S53" s="7" t="e">
        <f ca="1"/>
        <v>#NAME?</v>
      </c>
      <c r="T53" s="7" t="e">
        <f ca="1"/>
        <v>#NAME?</v>
      </c>
      <c r="U53" s="2" t="e">
        <f ca="1"/>
        <v>#NAME?</v>
      </c>
      <c r="V53" s="6" t="e">
        <f ca="1"/>
        <v>#NAME?</v>
      </c>
      <c r="X53" s="6" t="str">
        <f t="shared" si="3"/>
        <v>45Y</v>
      </c>
      <c r="Y53" s="6">
        <f t="shared" si="2"/>
        <v>45</v>
      </c>
      <c r="Z53" s="6" t="e" cm="1">
        <f t="array" aca="1" ref="Z53" ca="1">_xll.OracCurvePoint($H$5,$X53,Z$8)</f>
        <v>#NAME?</v>
      </c>
    </row>
    <row r="54" spans="16:26" x14ac:dyDescent="0.25">
      <c r="S54" s="7" t="e">
        <f ca="1"/>
        <v>#NAME?</v>
      </c>
      <c r="T54" s="7" t="e">
        <f ca="1"/>
        <v>#NAME?</v>
      </c>
      <c r="U54" s="2" t="e">
        <f ca="1"/>
        <v>#NAME?</v>
      </c>
      <c r="V54" s="6" t="e">
        <f ca="1"/>
        <v>#NAME?</v>
      </c>
      <c r="X54" s="6" t="str">
        <f t="shared" si="3"/>
        <v>46Y</v>
      </c>
      <c r="Y54" s="6">
        <f t="shared" si="2"/>
        <v>46</v>
      </c>
      <c r="Z54" s="6" t="e" cm="1">
        <f t="array" aca="1" ref="Z54" ca="1">_xll.OracCurvePoint($H$5,$X54,Z$8)</f>
        <v>#NAME?</v>
      </c>
    </row>
    <row r="55" spans="16:26" x14ac:dyDescent="0.25">
      <c r="S55" s="7" t="e">
        <f ca="1"/>
        <v>#NAME?</v>
      </c>
      <c r="T55" s="7" t="e">
        <f ca="1"/>
        <v>#NAME?</v>
      </c>
      <c r="U55" s="2" t="e">
        <f ca="1"/>
        <v>#NAME?</v>
      </c>
      <c r="V55" s="6" t="e">
        <f ca="1"/>
        <v>#NAME?</v>
      </c>
      <c r="X55" s="6" t="str">
        <f t="shared" si="3"/>
        <v>47Y</v>
      </c>
      <c r="Y55" s="6">
        <f t="shared" si="2"/>
        <v>47</v>
      </c>
      <c r="Z55" s="6" t="e" cm="1">
        <f t="array" aca="1" ref="Z55" ca="1">_xll.OracCurvePoint($H$5,$X55,Z$8)</f>
        <v>#NAME?</v>
      </c>
    </row>
    <row r="56" spans="16:26" x14ac:dyDescent="0.25">
      <c r="S56" s="7" t="e">
        <f ca="1"/>
        <v>#NAME?</v>
      </c>
      <c r="T56" s="7" t="e">
        <f ca="1"/>
        <v>#NAME?</v>
      </c>
      <c r="U56" s="2" t="e">
        <f ca="1"/>
        <v>#NAME?</v>
      </c>
      <c r="V56" s="6" t="e">
        <f ca="1"/>
        <v>#NAME?</v>
      </c>
      <c r="X56" s="6" t="str">
        <f t="shared" si="3"/>
        <v>48Y</v>
      </c>
      <c r="Y56" s="6">
        <f t="shared" si="2"/>
        <v>48</v>
      </c>
      <c r="Z56" s="6" t="e" cm="1">
        <f t="array" aca="1" ref="Z56" ca="1">_xll.OracCurvePoint($H$5,$X56,Z$8)</f>
        <v>#NAME?</v>
      </c>
    </row>
    <row r="57" spans="16:26" x14ac:dyDescent="0.25">
      <c r="S57" s="7" t="e">
        <f ca="1"/>
        <v>#NAME?</v>
      </c>
      <c r="T57" s="7" t="e">
        <f ca="1"/>
        <v>#NAME?</v>
      </c>
      <c r="U57" s="2" t="e">
        <f ca="1"/>
        <v>#NAME?</v>
      </c>
      <c r="V57" s="6" t="e">
        <f ca="1"/>
        <v>#NAME?</v>
      </c>
      <c r="X57" s="6" t="str">
        <f t="shared" si="3"/>
        <v>49Y</v>
      </c>
      <c r="Y57" s="6">
        <f t="shared" si="2"/>
        <v>49</v>
      </c>
      <c r="Z57" s="6" t="e" cm="1">
        <f t="array" aca="1" ref="Z57" ca="1">_xll.OracCurvePoint($H$5,$X57,Z$8)</f>
        <v>#NAME?</v>
      </c>
    </row>
    <row r="58" spans="16:26" x14ac:dyDescent="0.25">
      <c r="S58" s="7" t="e">
        <f ca="1"/>
        <v>#NAME?</v>
      </c>
      <c r="T58" s="7" t="e">
        <f ca="1"/>
        <v>#NAME?</v>
      </c>
      <c r="U58" s="2" t="e">
        <f ca="1"/>
        <v>#NAME?</v>
      </c>
      <c r="V58" s="6" t="e">
        <f ca="1"/>
        <v>#NAME?</v>
      </c>
      <c r="X58" s="6" t="str">
        <f t="shared" si="3"/>
        <v>50Y</v>
      </c>
      <c r="Y58" s="6">
        <f t="shared" si="2"/>
        <v>50</v>
      </c>
      <c r="Z58" s="6" t="e" cm="1">
        <f t="array" aca="1" ref="Z58" ca="1">_xll.OracCurvePoint($H$5,$X58,Z$8)</f>
        <v>#NAME?</v>
      </c>
    </row>
    <row r="59" spans="16:26" x14ac:dyDescent="0.25">
      <c r="S59" s="7" t="e">
        <f ca="1"/>
        <v>#NAME?</v>
      </c>
      <c r="T59" s="7" t="e">
        <f ca="1"/>
        <v>#NAME?</v>
      </c>
      <c r="U59" s="2" t="e">
        <f ca="1"/>
        <v>#NAME?</v>
      </c>
      <c r="V59" s="6" t="e">
        <f ca="1"/>
        <v>#NAME?</v>
      </c>
    </row>
    <row r="60" spans="16:26" x14ac:dyDescent="0.25">
      <c r="S60" s="7" t="e">
        <f ca="1"/>
        <v>#NAME?</v>
      </c>
      <c r="T60" s="7" t="e">
        <f ca="1"/>
        <v>#NAME?</v>
      </c>
      <c r="U60" s="2" t="e">
        <f ca="1"/>
        <v>#NAME?</v>
      </c>
      <c r="V60" s="6" t="e">
        <f ca="1"/>
        <v>#NAME?</v>
      </c>
    </row>
    <row r="61" spans="16:26" x14ac:dyDescent="0.25">
      <c r="S61" s="7" t="e">
        <f ca="1"/>
        <v>#NAME?</v>
      </c>
      <c r="T61" s="7" t="e">
        <f ca="1"/>
        <v>#NAME?</v>
      </c>
      <c r="U61" s="2" t="e">
        <f ca="1"/>
        <v>#NAME?</v>
      </c>
      <c r="V61" s="6" t="e">
        <f ca="1"/>
        <v>#NAME?</v>
      </c>
    </row>
    <row r="62" spans="16:26" x14ac:dyDescent="0.25">
      <c r="S62" s="7" t="e">
        <f ca="1"/>
        <v>#NAME?</v>
      </c>
      <c r="T62" s="7" t="e">
        <f ca="1"/>
        <v>#NAME?</v>
      </c>
      <c r="U62" s="2" t="e">
        <f ca="1"/>
        <v>#NAME?</v>
      </c>
      <c r="V62" s="6" t="e">
        <f ca="1"/>
        <v>#NAME?</v>
      </c>
    </row>
    <row r="63" spans="16:26" x14ac:dyDescent="0.25">
      <c r="S63" s="7" t="e">
        <f ca="1"/>
        <v>#NAME?</v>
      </c>
      <c r="T63" s="7" t="e">
        <f ca="1"/>
        <v>#NAME?</v>
      </c>
      <c r="U63" s="2" t="e">
        <f ca="1"/>
        <v>#NAME?</v>
      </c>
      <c r="V63" s="6" t="e">
        <f ca="1"/>
        <v>#NAME?</v>
      </c>
    </row>
    <row r="64" spans="16:26" x14ac:dyDescent="0.25">
      <c r="S64" s="7" t="e">
        <f ca="1"/>
        <v>#NAME?</v>
      </c>
      <c r="T64" s="7" t="e">
        <f ca="1"/>
        <v>#NAME?</v>
      </c>
      <c r="U64" s="2" t="e">
        <f ca="1"/>
        <v>#NAME?</v>
      </c>
      <c r="V64" s="6" t="e">
        <f ca="1"/>
        <v>#NAME?</v>
      </c>
    </row>
    <row r="65" spans="19:22" x14ac:dyDescent="0.25">
      <c r="S65" s="7" t="e">
        <f ca="1"/>
        <v>#NAME?</v>
      </c>
      <c r="T65" s="7" t="e">
        <f ca="1"/>
        <v>#NAME?</v>
      </c>
      <c r="U65" s="2" t="e">
        <f ca="1"/>
        <v>#NAME?</v>
      </c>
      <c r="V65" s="6" t="e">
        <f ca="1"/>
        <v>#NAME?</v>
      </c>
    </row>
  </sheetData>
  <mergeCells count="4">
    <mergeCell ref="I7:L7"/>
    <mergeCell ref="N7:Q7"/>
    <mergeCell ref="S7:V7"/>
    <mergeCell ref="X7:Z7"/>
  </mergeCells>
  <hyperlinks>
    <hyperlink ref="H1" r:id="rId1" display="http://localhost:8200" xr:uid="{EF653F25-6951-437A-8298-312DCF86F99C}"/>
    <hyperlink ref="I1" r:id="rId2" xr:uid="{795A42A5-4768-4BC0-8A81-C2752D85B48C}"/>
  </hyperlinks>
  <pageMargins left="0.7" right="0.7" top="0.75" bottom="0.75" header="0.3" footer="0.3"/>
  <pageSetup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Johnson-Perkins</dc:creator>
  <cp:lastModifiedBy>Robert Johnson-Perkins</cp:lastModifiedBy>
  <dcterms:created xsi:type="dcterms:W3CDTF">2020-11-18T19:43:43Z</dcterms:created>
  <dcterms:modified xsi:type="dcterms:W3CDTF">2020-11-22T15:17:58Z</dcterms:modified>
</cp:coreProperties>
</file>