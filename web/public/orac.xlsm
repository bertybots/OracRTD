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\bertybots\OracRTD\web\public\"/>
    </mc:Choice>
  </mc:AlternateContent>
  <xr:revisionPtr revIDLastSave="0" documentId="13_ncr:1_{FDF421AA-8DA9-4F47-95F5-97AC947E40FB}" xr6:coauthVersionLast="45" xr6:coauthVersionMax="45" xr10:uidLastSave="{00000000-0000-0000-0000-000000000000}"/>
  <bookViews>
    <workbookView xWindow="3120" yWindow="0" windowWidth="27780" windowHeight="21000" xr2:uid="{CEC251A4-B6D6-4822-AE4A-E10DC76190B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 a="1"/>
  <c r="D1" i="1"/>
  <c r="C1" i="1" a="1"/>
  <c r="D3" i="1" a="1"/>
  <c r="D3" i="1" l="1"/>
  <c r="C1" i="1"/>
  <c r="F2" i="1" a="1"/>
  <c r="F2" i="1"/>
  <c r="F3" i="1" s="1" a="1"/>
  <c r="F3" i="1" l="1"/>
  <c r="F16" i="1"/>
  <c r="G25" i="1"/>
  <c r="F29" i="1"/>
  <c r="F25" i="1"/>
  <c r="F22" i="1"/>
  <c r="F8" i="1"/>
  <c r="G5" i="1"/>
  <c r="G7" i="1"/>
  <c r="F9" i="1"/>
  <c r="G4" i="1"/>
  <c r="G31" i="1"/>
  <c r="F18" i="1"/>
  <c r="F14" i="1"/>
  <c r="G3" i="1"/>
  <c r="G29" i="1"/>
  <c r="G9" i="1"/>
  <c r="G22" i="1"/>
  <c r="F32" i="1"/>
  <c r="G15" i="1"/>
  <c r="G28" i="1"/>
  <c r="G8" i="1"/>
  <c r="G21" i="1"/>
  <c r="G6" i="1"/>
  <c r="G27" i="1"/>
  <c r="F19" i="1"/>
  <c r="G20" i="1"/>
  <c r="F17" i="1"/>
  <c r="F23" i="1"/>
  <c r="F15" i="1"/>
  <c r="F28" i="1"/>
  <c r="F20" i="1"/>
  <c r="G11" i="1"/>
  <c r="G19" i="1"/>
  <c r="F21" i="1"/>
  <c r="F12" i="1"/>
  <c r="G17" i="1"/>
  <c r="F27" i="1"/>
  <c r="G23" i="1"/>
  <c r="F30" i="1"/>
  <c r="G16" i="1"/>
  <c r="F26" i="1"/>
  <c r="G12" i="1"/>
  <c r="F6" i="1"/>
  <c r="G24" i="1"/>
  <c r="F24" i="1"/>
  <c r="F7" i="1"/>
  <c r="G14" i="1"/>
  <c r="G18" i="1"/>
  <c r="F31" i="1"/>
  <c r="F10" i="1"/>
  <c r="G26" i="1"/>
  <c r="G10" i="1"/>
  <c r="F5" i="1"/>
  <c r="F11" i="1"/>
  <c r="F4" i="1"/>
  <c r="G30" i="1"/>
  <c r="G13" i="1"/>
  <c r="G32" i="1"/>
  <c r="F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<sst xmlns="http://schemas.openxmlformats.org/spreadsheetml/2006/main" count="4" uniqueCount="4">
  <si>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Connected</t>
  </si>
  <si>
    <t>Tenor</t>
  </si>
  <si>
    <t>Value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</si>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</sst>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7e638ba0000435a800b8753ba0b7509">
      <tp t="s">
        <v>Curve.43</v>
        <stp/>
        <stp>CURVE</stp>
        <tr r="F2" s="1"/>
      </tp>
      <tp t="s">
        <v>10:03:35.688</v>
        <stp/>
        <stp>NOW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BDF5-7951-48F9-804A-9AF05785FF2C}">
  <sheetPr codeName="Sheet1"/>
  <dimension ref="A1:G32"/>
  <sheetViews>
    <sheetView tabSelected="1" workbookViewId="0">
      <selection activeCell="F3" sqref="F3"/>
    </sheetView>
  </sheetViews>
  <sheetFormatPr defaultRowHeight="15" x14ac:dyDescent="0.25"/>
  <cols>
    <col min="2" max="2" width="10.5703125" bestFit="1" customWidth="1"/>
    <col min="4" max="4" width="44.42578125" bestFit="1" customWidth="1"/>
  </cols>
  <sheetData>
    <row r="1" spans="1:7" x14ac:dyDescent="0.25">
      <c r="B1" t="s">
        <v>0</v>
      </c>
      <c r="C1" t="b" cm="1">
        <f t="array" ref="C1">_xll.OracStatus()</f>
        <v>0</v>
      </c>
      <c r="D1" t="str" cm="1">
        <f t="array" ref="D1">_xll.OracTime()</f>
        <v>10:03:35.688</v>
      </c>
    </row>
    <row r="2" spans="1:7" x14ac:dyDescent="0.25">
      <c r="B2" t="s">
        <v>1</v>
      </c>
      <c r="C2" t="s">
        <v>2</v>
      </c>
      <c r="F2" t="str" cm="1">
        <f t="array" ref="F2">_xll.OracCurveInputs()</f>
        <v>Curve.43</v>
      </c>
    </row>
    <row r="3" spans="1:7" x14ac:dyDescent="0.25">
      <c r="A3">
        <v>1</v>
      </c>
      <c r="B3" t="s">
        <v>3</v>
      </c>
      <c r="C3">
        <v>5</v>
      </c>
      <c r="D3" t="str" cm="1">
        <f t="array" ref="D3">_xll.OracPublish(B3,C3)</f>
        <v>Published Name: TEST, Value: 5</v>
      </c>
      <c r="F3" t="str">
        <f t="array" ref="F3:G32">_xll.OracCurveInputsData(F2)</f>
        <v>282Y</v>
      </c>
      <c r="G3">
        <v>0.9655826723200448</v>
      </c>
    </row>
    <row r="4" spans="1:7" x14ac:dyDescent="0.25">
      <c r="F4" t="str">
        <v>1Y</v>
      </c>
      <c r="G4">
        <v>0.38458275779886364</v>
      </c>
    </row>
    <row r="5" spans="1:7" x14ac:dyDescent="0.25">
      <c r="F5" t="str">
        <v>31Y</v>
      </c>
      <c r="G5">
        <v>0.9655826723200448</v>
      </c>
    </row>
    <row r="6" spans="1:7" x14ac:dyDescent="0.25">
      <c r="F6" t="str">
        <v>32Y</v>
      </c>
      <c r="G6">
        <v>0.9655826723200448</v>
      </c>
    </row>
    <row r="7" spans="1:7" x14ac:dyDescent="0.25">
      <c r="F7" t="str">
        <v>33Y</v>
      </c>
      <c r="G7">
        <v>0.9655826723200448</v>
      </c>
    </row>
    <row r="8" spans="1:7" x14ac:dyDescent="0.25">
      <c r="F8" t="str">
        <v>3Y</v>
      </c>
      <c r="G8">
        <v>0.9655826723200448</v>
      </c>
    </row>
    <row r="9" spans="1:7" x14ac:dyDescent="0.25">
      <c r="F9" t="str">
        <v>2Y</v>
      </c>
      <c r="G9">
        <v>0.9655826723200448</v>
      </c>
    </row>
    <row r="10" spans="1:7" x14ac:dyDescent="0.25">
      <c r="F10" t="str">
        <v>34Y</v>
      </c>
      <c r="G10">
        <v>0.9655826723200448</v>
      </c>
    </row>
    <row r="11" spans="1:7" x14ac:dyDescent="0.25">
      <c r="F11" t="str">
        <v>4Y</v>
      </c>
      <c r="G11">
        <v>0.9655826723200448</v>
      </c>
    </row>
    <row r="12" spans="1:7" x14ac:dyDescent="0.25">
      <c r="F12" t="str">
        <v>35Y</v>
      </c>
      <c r="G12">
        <v>0.9655826723200448</v>
      </c>
    </row>
    <row r="13" spans="1:7" x14ac:dyDescent="0.25">
      <c r="F13" t="str">
        <v>5Y</v>
      </c>
      <c r="G13">
        <v>0.9655826723200448</v>
      </c>
    </row>
    <row r="14" spans="1:7" x14ac:dyDescent="0.25">
      <c r="F14" t="str">
        <v>36Y</v>
      </c>
      <c r="G14">
        <v>0.9655826723200448</v>
      </c>
    </row>
    <row r="15" spans="1:7" x14ac:dyDescent="0.25">
      <c r="F15" t="str">
        <v>6Y</v>
      </c>
      <c r="G15">
        <v>0.9655826723200448</v>
      </c>
    </row>
    <row r="16" spans="1:7" x14ac:dyDescent="0.25">
      <c r="F16" t="str">
        <v>37Y</v>
      </c>
      <c r="G16">
        <v>0.9655826723200448</v>
      </c>
    </row>
    <row r="17" spans="6:7" x14ac:dyDescent="0.25">
      <c r="F17" t="str">
        <v>7Y</v>
      </c>
      <c r="G17">
        <v>0.9655826723200448</v>
      </c>
    </row>
    <row r="18" spans="6:7" x14ac:dyDescent="0.25">
      <c r="F18" t="str">
        <v>38Y</v>
      </c>
      <c r="G18">
        <v>0.9655826723200448</v>
      </c>
    </row>
    <row r="19" spans="6:7" x14ac:dyDescent="0.25">
      <c r="F19" t="str">
        <v>8Y</v>
      </c>
      <c r="G19">
        <v>0.9655826723200448</v>
      </c>
    </row>
    <row r="20" spans="6:7" x14ac:dyDescent="0.25">
      <c r="F20" t="str">
        <v>39Y</v>
      </c>
      <c r="G20">
        <v>0.9655826723200448</v>
      </c>
    </row>
    <row r="21" spans="6:7" x14ac:dyDescent="0.25">
      <c r="F21" t="str">
        <v>9Y</v>
      </c>
      <c r="G21">
        <v>0.9655826723200448</v>
      </c>
    </row>
    <row r="22" spans="6:7" x14ac:dyDescent="0.25">
      <c r="F22" t="str">
        <v>40Y</v>
      </c>
      <c r="G22">
        <v>0.9655826723200448</v>
      </c>
    </row>
    <row r="23" spans="6:7" x14ac:dyDescent="0.25">
      <c r="F23" t="str">
        <v>10Y</v>
      </c>
      <c r="G23">
        <v>0.9655826723200448</v>
      </c>
    </row>
    <row r="24" spans="6:7" x14ac:dyDescent="0.25">
      <c r="F24" t="str">
        <v>41Y</v>
      </c>
      <c r="G24">
        <v>0.9655826723200448</v>
      </c>
    </row>
    <row r="25" spans="6:7" x14ac:dyDescent="0.25">
      <c r="F25" t="str">
        <v>11Y</v>
      </c>
      <c r="G25">
        <v>0.9655826723200448</v>
      </c>
    </row>
    <row r="26" spans="6:7" x14ac:dyDescent="0.25">
      <c r="F26" t="str">
        <v>12Y</v>
      </c>
      <c r="G26">
        <v>0.9655826723200448</v>
      </c>
    </row>
    <row r="27" spans="6:7" x14ac:dyDescent="0.25">
      <c r="F27" t="str">
        <v>42Y</v>
      </c>
      <c r="G27">
        <v>0.9655826723200448</v>
      </c>
    </row>
    <row r="28" spans="6:7" x14ac:dyDescent="0.25">
      <c r="F28" t="str">
        <v>43Y</v>
      </c>
      <c r="G28">
        <v>0.9655826723200448</v>
      </c>
    </row>
    <row r="29" spans="6:7" x14ac:dyDescent="0.25">
      <c r="F29" t="str">
        <v>13Y</v>
      </c>
      <c r="G29">
        <v>0.9655826723200448</v>
      </c>
    </row>
    <row r="30" spans="6:7" x14ac:dyDescent="0.25">
      <c r="F30" t="str">
        <v>14Y</v>
      </c>
      <c r="G30">
        <v>0.9655826723200448</v>
      </c>
    </row>
    <row r="31" spans="6:7" x14ac:dyDescent="0.25">
      <c r="F31" t="str">
        <v>44Y</v>
      </c>
      <c r="G31">
        <v>0.9655826723200448</v>
      </c>
    </row>
    <row r="32" spans="6:7" x14ac:dyDescent="0.25">
      <c r="F32" t="str">
        <v>45Y</v>
      </c>
      <c r="G32">
        <v>0.9655826723200448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Johnson-Perkins</dc:creator>
  <cp:lastModifiedBy>Robert Johnson-Perkins</cp:lastModifiedBy>
  <dcterms:created xsi:type="dcterms:W3CDTF">2020-11-18T19:43:43Z</dcterms:created>
  <dcterms:modified xsi:type="dcterms:W3CDTF">2020-11-20T10:03:36Z</dcterms:modified>
</cp:coreProperties>
</file>