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\bertybots\OracRTD\"/>
    </mc:Choice>
  </mc:AlternateContent>
  <xr:revisionPtr revIDLastSave="0" documentId="13_ncr:1_{7A67CA3B-3F06-493A-88ED-63C73C2B0691}" xr6:coauthVersionLast="45" xr6:coauthVersionMax="45" xr10:uidLastSave="{00000000-0000-0000-0000-000000000000}"/>
  <bookViews>
    <workbookView xWindow="0" yWindow="0" windowWidth="19200" windowHeight="21000" xr2:uid="{CEC251A4-B6D6-4822-AE4A-E10DC76190B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 l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F2" i="1" a="1"/>
  <c r="A4" i="1" l="1"/>
  <c r="A5" i="1" s="1"/>
  <c r="B3" i="1"/>
  <c r="C1" i="1" a="1"/>
  <c r="D1" i="1" a="1"/>
  <c r="F2" i="1"/>
  <c r="D3" i="1" a="1"/>
  <c r="F3" i="1" a="1"/>
  <c r="D3" i="1" l="1"/>
  <c r="F3" i="1"/>
  <c r="F16" i="1"/>
  <c r="G25" i="1"/>
  <c r="F29" i="1"/>
  <c r="F25" i="1"/>
  <c r="F22" i="1"/>
  <c r="F8" i="1"/>
  <c r="G5" i="1"/>
  <c r="G7" i="1"/>
  <c r="F9" i="1"/>
  <c r="G4" i="1"/>
  <c r="G31" i="1"/>
  <c r="F18" i="1"/>
  <c r="F14" i="1"/>
  <c r="G3" i="1"/>
  <c r="G29" i="1"/>
  <c r="G9" i="1"/>
  <c r="G22" i="1"/>
  <c r="F32" i="1"/>
  <c r="G15" i="1"/>
  <c r="G28" i="1"/>
  <c r="G8" i="1"/>
  <c r="G21" i="1"/>
  <c r="G6" i="1"/>
  <c r="G27" i="1"/>
  <c r="F19" i="1"/>
  <c r="G20" i="1"/>
  <c r="F17" i="1"/>
  <c r="F23" i="1"/>
  <c r="F15" i="1"/>
  <c r="F28" i="1"/>
  <c r="F20" i="1"/>
  <c r="G11" i="1"/>
  <c r="G19" i="1"/>
  <c r="F21" i="1"/>
  <c r="F12" i="1"/>
  <c r="G17" i="1"/>
  <c r="F27" i="1"/>
  <c r="G23" i="1"/>
  <c r="F30" i="1"/>
  <c r="G16" i="1"/>
  <c r="F26" i="1"/>
  <c r="G12" i="1"/>
  <c r="F6" i="1"/>
  <c r="G24" i="1"/>
  <c r="F24" i="1"/>
  <c r="F7" i="1"/>
  <c r="G14" i="1"/>
  <c r="G18" i="1"/>
  <c r="F31" i="1"/>
  <c r="F10" i="1"/>
  <c r="G26" i="1"/>
  <c r="G10" i="1"/>
  <c r="F5" i="1"/>
  <c r="F11" i="1"/>
  <c r="F4" i="1"/>
  <c r="G30" i="1"/>
  <c r="G13" i="1"/>
  <c r="G32" i="1"/>
  <c r="F13" i="1"/>
  <c r="C1" i="1"/>
  <c r="B5" i="1"/>
  <c r="A6" i="1"/>
  <c r="B4" i="1"/>
  <c r="D5" i="1" a="1"/>
  <c r="D4" i="1" a="1"/>
  <c r="D4" i="1" l="1"/>
  <c r="D5" i="1"/>
  <c r="A7" i="1"/>
  <c r="B6" i="1"/>
  <c r="D6" i="1" a="1"/>
  <c r="D1" i="1"/>
  <c r="D6" i="1" l="1"/>
  <c r="A8" i="1"/>
  <c r="B7" i="1"/>
  <c r="D7" i="1" a="1"/>
  <c r="D7" i="1" l="1"/>
  <c r="A9" i="1"/>
  <c r="B8" i="1"/>
  <c r="D8" i="1" a="1"/>
  <c r="D8" i="1" l="1"/>
  <c r="A10" i="1"/>
  <c r="B9" i="1"/>
  <c r="D9" i="1" a="1"/>
  <c r="D9" i="1" l="1"/>
  <c r="B10" i="1"/>
  <c r="A11" i="1"/>
  <c r="D10" i="1" a="1"/>
  <c r="D10" i="1" l="1"/>
  <c r="A12" i="1"/>
  <c r="B11" i="1"/>
  <c r="D11" i="1" a="1"/>
  <c r="D11" i="1" l="1"/>
  <c r="B12" i="1"/>
  <c r="A13" i="1"/>
  <c r="D12" i="1" a="1"/>
  <c r="D12" i="1" l="1"/>
  <c r="A14" i="1"/>
  <c r="B13" i="1"/>
  <c r="D13" i="1" a="1"/>
  <c r="D13" i="1" l="1"/>
  <c r="A15" i="1"/>
  <c r="B14" i="1"/>
  <c r="D14" i="1" a="1"/>
  <c r="D14" i="1" l="1"/>
  <c r="B15" i="1"/>
  <c r="A16" i="1"/>
  <c r="D15" i="1" a="1"/>
  <c r="D15" i="1" l="1"/>
  <c r="A17" i="1"/>
  <c r="B16" i="1"/>
  <c r="D16" i="1" a="1"/>
  <c r="D16" i="1" l="1"/>
  <c r="B17" i="1"/>
  <c r="A18" i="1"/>
  <c r="D17" i="1" a="1"/>
  <c r="D17" i="1" l="1"/>
  <c r="A19" i="1"/>
  <c r="B18" i="1"/>
  <c r="D18" i="1" a="1"/>
  <c r="D18" i="1" l="1"/>
  <c r="A20" i="1"/>
  <c r="B19" i="1"/>
  <c r="D19" i="1" a="1"/>
  <c r="D19" i="1" l="1"/>
  <c r="A21" i="1"/>
  <c r="B20" i="1"/>
  <c r="D20" i="1" a="1"/>
  <c r="D20" i="1" l="1"/>
  <c r="A22" i="1"/>
  <c r="B21" i="1"/>
  <c r="D21" i="1" a="1"/>
  <c r="D21" i="1" l="1"/>
  <c r="B22" i="1"/>
  <c r="A23" i="1"/>
  <c r="D22" i="1" a="1"/>
  <c r="D22" i="1" l="1"/>
  <c r="A24" i="1"/>
  <c r="B23" i="1"/>
  <c r="D23" i="1" a="1"/>
  <c r="D23" i="1" l="1"/>
  <c r="B24" i="1"/>
  <c r="A25" i="1"/>
  <c r="D24" i="1" a="1"/>
  <c r="D24" i="1" l="1"/>
  <c r="A26" i="1"/>
  <c r="B25" i="1"/>
  <c r="D25" i="1" a="1"/>
  <c r="D25" i="1" l="1"/>
  <c r="A27" i="1"/>
  <c r="B26" i="1"/>
  <c r="D26" i="1" a="1"/>
  <c r="D26" i="1" l="1"/>
  <c r="B27" i="1"/>
  <c r="A28" i="1"/>
  <c r="D27" i="1" a="1"/>
  <c r="D27" i="1" l="1"/>
  <c r="A29" i="1"/>
  <c r="B28" i="1"/>
  <c r="D28" i="1" a="1"/>
  <c r="D28" i="1" l="1"/>
  <c r="B29" i="1"/>
  <c r="A30" i="1"/>
  <c r="D29" i="1" a="1"/>
  <c r="D29" i="1" l="1"/>
  <c r="A31" i="1"/>
  <c r="B30" i="1"/>
  <c r="D30" i="1" a="1"/>
  <c r="D30" i="1" l="1"/>
  <c r="A32" i="1"/>
  <c r="B31" i="1"/>
  <c r="D31" i="1" a="1"/>
  <c r="D31" i="1" l="1"/>
  <c r="B32" i="1"/>
  <c r="D32" i="1" a="1"/>
  <c r="D3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<sst xmlns="http://schemas.openxmlformats.org/spreadsheetml/2006/main" count="3" uniqueCount="3">
  <si>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Connected</t>
  </si>
  <si>
    <t>Tenor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</si>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</sst>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60d43b0bcdb4a6b808bd037ce96eef3">
      <tp t="s">
        <v>Curve.26</v>
        <stp/>
        <stp>CURVE</stp>
        <tr r="F2" s="1"/>
      </tp>
      <tp t="s">
        <v>23:20:53.685</v>
        <stp/>
        <stp>NOW</stp>
        <tr r="D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EBDF5-7951-48F9-804A-9AF05785FF2C}">
  <sheetPr codeName="Sheet1"/>
  <dimension ref="A1:G32"/>
  <sheetViews>
    <sheetView tabSelected="1" topLeftCell="A2" workbookViewId="0">
      <selection activeCell="E2" sqref="E1:E1048576"/>
    </sheetView>
  </sheetViews>
  <sheetFormatPr defaultRowHeight="15" x14ac:dyDescent="0.25"/>
  <cols>
    <col min="2" max="2" width="10.5703125" bestFit="1" customWidth="1"/>
    <col min="4" max="4" width="44.42578125" bestFit="1" customWidth="1"/>
  </cols>
  <sheetData>
    <row r="1" spans="1:7" x14ac:dyDescent="0.25">
      <c r="B1" t="s">
        <v>0</v>
      </c>
      <c r="C1" t="b" cm="1">
        <f t="array" ref="C1">_xll.OracStatus()</f>
        <v>1</v>
      </c>
      <c r="D1" t="str" cm="1">
        <f t="array" ref="D1">_xll.OracTime()</f>
        <v>23:20:53.685</v>
      </c>
    </row>
    <row r="2" spans="1:7" x14ac:dyDescent="0.25">
      <c r="B2" t="s">
        <v>1</v>
      </c>
      <c r="C2" t="s">
        <v>2</v>
      </c>
      <c r="F2" t="str" cm="1">
        <f t="array" ref="F2">_xll.OracCurveInputs()</f>
        <v>Curve.26</v>
      </c>
    </row>
    <row r="3" spans="1:7" x14ac:dyDescent="0.25">
      <c r="A3">
        <v>1</v>
      </c>
      <c r="B3" t="str">
        <f>A3&amp;"Y"</f>
        <v>1Y</v>
      </c>
      <c r="C3">
        <f ca="1">RAND()</f>
        <v>0.5047964638732465</v>
      </c>
      <c r="D3" t="str" cm="1">
        <f t="array" aca="1" ref="D3" ca="1">_xll.OracPublish(B3,C3)</f>
        <v>Published Name: 1Y, Value: 0.504796463873247</v>
      </c>
      <c r="F3" t="str">
        <f t="array" ref="F3:G32">_xll.OracCurveInputsData(F2)</f>
        <v>1Y</v>
      </c>
      <c r="G3">
        <v>0.63710530784667196</v>
      </c>
    </row>
    <row r="4" spans="1:7" x14ac:dyDescent="0.25">
      <c r="A4">
        <f>A3+1</f>
        <v>2</v>
      </c>
      <c r="B4" t="str">
        <f t="shared" ref="B4:B32" si="0">A4&amp;"Y"</f>
        <v>2Y</v>
      </c>
      <c r="C4">
        <f ca="1">C3</f>
        <v>0.5047964638732465</v>
      </c>
      <c r="D4" t="str" cm="1">
        <f t="array" aca="1" ref="D4" ca="1">_xll.OracPublish(B4,C4)</f>
        <v>Published Name: 2Y, Value: 0.504796463873247</v>
      </c>
      <c r="F4" t="str">
        <v>9Y</v>
      </c>
      <c r="G4">
        <v>0.63710530784667196</v>
      </c>
    </row>
    <row r="5" spans="1:7" x14ac:dyDescent="0.25">
      <c r="A5">
        <f t="shared" ref="A5:A32" si="1">A4+1</f>
        <v>3</v>
      </c>
      <c r="B5" t="str">
        <f t="shared" si="0"/>
        <v>3Y</v>
      </c>
      <c r="C5">
        <f t="shared" ref="C5:C32" ca="1" si="2">C4</f>
        <v>0.5047964638732465</v>
      </c>
      <c r="D5" t="str" cm="1">
        <f t="array" aca="1" ref="D5" ca="1">_xll.OracPublish(B5,C5)</f>
        <v>Published Name: 3Y, Value: 0.504796463873247</v>
      </c>
      <c r="F5" t="str">
        <v>30Y</v>
      </c>
      <c r="G5">
        <v>0.63710530784667196</v>
      </c>
    </row>
    <row r="6" spans="1:7" x14ac:dyDescent="0.25">
      <c r="A6">
        <f t="shared" si="1"/>
        <v>4</v>
      </c>
      <c r="B6" t="str">
        <f t="shared" si="0"/>
        <v>4Y</v>
      </c>
      <c r="C6">
        <f t="shared" ca="1" si="2"/>
        <v>0.5047964638732465</v>
      </c>
      <c r="D6" t="str" cm="1">
        <f t="array" aca="1" ref="D6" ca="1">_xll.OracPublish(B6,C6)</f>
        <v>Published Name: 4Y, Value: 0.504796463873247</v>
      </c>
      <c r="F6" t="str">
        <v>14Y</v>
      </c>
      <c r="G6">
        <v>0.63710530784667196</v>
      </c>
    </row>
    <row r="7" spans="1:7" x14ac:dyDescent="0.25">
      <c r="A7">
        <f t="shared" si="1"/>
        <v>5</v>
      </c>
      <c r="B7" t="str">
        <f t="shared" si="0"/>
        <v>5Y</v>
      </c>
      <c r="C7">
        <f t="shared" ca="1" si="2"/>
        <v>0.5047964638732465</v>
      </c>
      <c r="D7" t="str" cm="1">
        <f t="array" aca="1" ref="D7" ca="1">_xll.OracPublish(B7,C7)</f>
        <v>Published Name: 5Y, Value: 0.504796463873247</v>
      </c>
      <c r="F7" t="str">
        <v>4Y</v>
      </c>
      <c r="G7">
        <v>0.63710530784667196</v>
      </c>
    </row>
    <row r="8" spans="1:7" x14ac:dyDescent="0.25">
      <c r="A8">
        <f t="shared" si="1"/>
        <v>6</v>
      </c>
      <c r="B8" t="str">
        <f t="shared" si="0"/>
        <v>6Y</v>
      </c>
      <c r="C8">
        <f t="shared" ca="1" si="2"/>
        <v>0.5047964638732465</v>
      </c>
      <c r="D8" t="str" cm="1">
        <f t="array" aca="1" ref="D8" ca="1">_xll.OracPublish(B8,C8)</f>
        <v>Published Name: 6Y, Value: 0.504796463873247</v>
      </c>
      <c r="F8" t="str">
        <v>27Y</v>
      </c>
      <c r="G8">
        <v>0.63710530784667196</v>
      </c>
    </row>
    <row r="9" spans="1:7" x14ac:dyDescent="0.25">
      <c r="A9">
        <f t="shared" si="1"/>
        <v>7</v>
      </c>
      <c r="B9" t="str">
        <f t="shared" si="0"/>
        <v>7Y</v>
      </c>
      <c r="C9">
        <f t="shared" ca="1" si="2"/>
        <v>0.5047964638732465</v>
      </c>
      <c r="D9" t="str" cm="1">
        <f t="array" aca="1" ref="D9" ca="1">_xll.OracPublish(B9,C9)</f>
        <v>Published Name: 7Y, Value: 0.504796463873247</v>
      </c>
      <c r="F9" t="str">
        <v>29Y</v>
      </c>
      <c r="G9">
        <v>0.63710530784667196</v>
      </c>
    </row>
    <row r="10" spans="1:7" x14ac:dyDescent="0.25">
      <c r="A10">
        <f t="shared" si="1"/>
        <v>8</v>
      </c>
      <c r="B10" t="str">
        <f t="shared" si="0"/>
        <v>8Y</v>
      </c>
      <c r="C10">
        <f t="shared" ca="1" si="2"/>
        <v>0.5047964638732465</v>
      </c>
      <c r="D10" t="str" cm="1">
        <f t="array" aca="1" ref="D10" ca="1">_xll.OracPublish(B10,C10)</f>
        <v>Published Name: 8Y, Value: 0.504796463873247</v>
      </c>
      <c r="F10" t="str">
        <v>18Y</v>
      </c>
      <c r="G10">
        <v>0.63710530784667196</v>
      </c>
    </row>
    <row r="11" spans="1:7" x14ac:dyDescent="0.25">
      <c r="A11">
        <f t="shared" si="1"/>
        <v>9</v>
      </c>
      <c r="B11" t="str">
        <f t="shared" si="0"/>
        <v>9Y</v>
      </c>
      <c r="C11">
        <f t="shared" ca="1" si="2"/>
        <v>0.5047964638732465</v>
      </c>
      <c r="D11" t="str" cm="1">
        <f t="array" aca="1" ref="D11" ca="1">_xll.OracPublish(B11,C11)</f>
        <v>Published Name: 9Y, Value: 0.504796463873247</v>
      </c>
      <c r="F11" t="str">
        <v>21Y</v>
      </c>
      <c r="G11">
        <v>0.63710530784667196</v>
      </c>
    </row>
    <row r="12" spans="1:7" x14ac:dyDescent="0.25">
      <c r="A12">
        <f t="shared" si="1"/>
        <v>10</v>
      </c>
      <c r="B12" t="str">
        <f t="shared" si="0"/>
        <v>10Y</v>
      </c>
      <c r="C12">
        <f t="shared" ca="1" si="2"/>
        <v>0.5047964638732465</v>
      </c>
      <c r="D12" t="str" cm="1">
        <f t="array" aca="1" ref="D12" ca="1">_xll.OracPublish(B12,C12)</f>
        <v>Published Name: 10Y, Value: 0.504796463873247</v>
      </c>
      <c r="F12" t="str">
        <v>15Y</v>
      </c>
      <c r="G12">
        <v>0.63710530784667196</v>
      </c>
    </row>
    <row r="13" spans="1:7" x14ac:dyDescent="0.25">
      <c r="A13">
        <f t="shared" si="1"/>
        <v>11</v>
      </c>
      <c r="B13" t="str">
        <f t="shared" si="0"/>
        <v>11Y</v>
      </c>
      <c r="C13">
        <f t="shared" ca="1" si="2"/>
        <v>0.5047964638732465</v>
      </c>
      <c r="D13" t="str" cm="1">
        <f t="array" aca="1" ref="D13" ca="1">_xll.OracPublish(B13,C13)</f>
        <v>Published Name: 11Y, Value: 0.504796463873247</v>
      </c>
      <c r="F13" t="str">
        <v>24Y</v>
      </c>
      <c r="G13">
        <v>0.63710530784667196</v>
      </c>
    </row>
    <row r="14" spans="1:7" x14ac:dyDescent="0.25">
      <c r="A14">
        <f t="shared" si="1"/>
        <v>12</v>
      </c>
      <c r="B14" t="str">
        <f t="shared" si="0"/>
        <v>12Y</v>
      </c>
      <c r="C14">
        <f t="shared" ca="1" si="2"/>
        <v>0.5047964638732465</v>
      </c>
      <c r="D14" t="str" cm="1">
        <f t="array" aca="1" ref="D14" ca="1">_xll.OracPublish(B14,C14)</f>
        <v>Published Name: 12Y, Value: 0.504796463873247</v>
      </c>
      <c r="F14" t="str">
        <v>6Y</v>
      </c>
      <c r="G14">
        <v>0.63710530784667196</v>
      </c>
    </row>
    <row r="15" spans="1:7" x14ac:dyDescent="0.25">
      <c r="A15">
        <f t="shared" si="1"/>
        <v>13</v>
      </c>
      <c r="B15" t="str">
        <f t="shared" si="0"/>
        <v>13Y</v>
      </c>
      <c r="C15">
        <f t="shared" ca="1" si="2"/>
        <v>0.5047964638732465</v>
      </c>
      <c r="D15" t="str" cm="1">
        <f t="array" aca="1" ref="D15" ca="1">_xll.OracPublish(B15,C15)</f>
        <v>Published Name: 13Y, Value: 0.504796463873247</v>
      </c>
      <c r="F15" t="str">
        <v>17Y</v>
      </c>
      <c r="G15">
        <v>0.63710530784667196</v>
      </c>
    </row>
    <row r="16" spans="1:7" x14ac:dyDescent="0.25">
      <c r="A16">
        <f t="shared" si="1"/>
        <v>14</v>
      </c>
      <c r="B16" t="str">
        <f t="shared" si="0"/>
        <v>14Y</v>
      </c>
      <c r="C16">
        <f t="shared" ca="1" si="2"/>
        <v>0.5047964638732465</v>
      </c>
      <c r="D16" t="str" cm="1">
        <f t="array" aca="1" ref="D16" ca="1">_xll.OracPublish(B16,C16)</f>
        <v>Published Name: 14Y, Value: 0.504796463873247</v>
      </c>
      <c r="F16" t="str">
        <v>28Y</v>
      </c>
      <c r="G16">
        <v>0.63710530784667196</v>
      </c>
    </row>
    <row r="17" spans="1:7" x14ac:dyDescent="0.25">
      <c r="A17">
        <f t="shared" si="1"/>
        <v>15</v>
      </c>
      <c r="B17" t="str">
        <f t="shared" si="0"/>
        <v>15Y</v>
      </c>
      <c r="C17">
        <f t="shared" ca="1" si="2"/>
        <v>0.5047964638732465</v>
      </c>
      <c r="D17" t="str" cm="1">
        <f t="array" aca="1" ref="D17" ca="1">_xll.OracPublish(B17,C17)</f>
        <v>Published Name: 15Y, Value: 0.504796463873247</v>
      </c>
      <c r="F17" t="str">
        <v>2Y</v>
      </c>
      <c r="G17">
        <v>0.63710530784667196</v>
      </c>
    </row>
    <row r="18" spans="1:7" x14ac:dyDescent="0.25">
      <c r="A18">
        <f t="shared" si="1"/>
        <v>16</v>
      </c>
      <c r="B18" t="str">
        <f t="shared" si="0"/>
        <v>16Y</v>
      </c>
      <c r="C18">
        <f t="shared" ca="1" si="2"/>
        <v>0.5047964638732465</v>
      </c>
      <c r="D18" t="str" cm="1">
        <f t="array" aca="1" ref="D18" ca="1">_xll.OracPublish(B18,C18)</f>
        <v>Published Name: 16Y, Value: 0.504796463873247</v>
      </c>
      <c r="F18" t="str">
        <v>20Y</v>
      </c>
      <c r="G18">
        <v>0.63710530784667196</v>
      </c>
    </row>
    <row r="19" spans="1:7" x14ac:dyDescent="0.25">
      <c r="A19">
        <f t="shared" si="1"/>
        <v>17</v>
      </c>
      <c r="B19" t="str">
        <f t="shared" si="0"/>
        <v>17Y</v>
      </c>
      <c r="C19">
        <f t="shared" ca="1" si="2"/>
        <v>0.5047964638732465</v>
      </c>
      <c r="D19" t="str" cm="1">
        <f t="array" aca="1" ref="D19" ca="1">_xll.OracPublish(B19,C19)</f>
        <v>Published Name: 17Y, Value: 0.504796463873247</v>
      </c>
      <c r="F19" t="str">
        <v>16Y</v>
      </c>
      <c r="G19">
        <v>0.63710530784667196</v>
      </c>
    </row>
    <row r="20" spans="1:7" x14ac:dyDescent="0.25">
      <c r="A20">
        <f t="shared" si="1"/>
        <v>18</v>
      </c>
      <c r="B20" t="str">
        <f t="shared" si="0"/>
        <v>18Y</v>
      </c>
      <c r="C20">
        <f t="shared" ca="1" si="2"/>
        <v>0.5047964638732465</v>
      </c>
      <c r="D20" t="str" cm="1">
        <f t="array" aca="1" ref="D20" ca="1">_xll.OracPublish(B20,C20)</f>
        <v>Published Name: 18Y, Value: 0.504796463873247</v>
      </c>
      <c r="F20" t="str">
        <v>8Y</v>
      </c>
      <c r="G20">
        <v>0.63710530784667196</v>
      </c>
    </row>
    <row r="21" spans="1:7" x14ac:dyDescent="0.25">
      <c r="A21">
        <f t="shared" si="1"/>
        <v>19</v>
      </c>
      <c r="B21" t="str">
        <f t="shared" si="0"/>
        <v>19Y</v>
      </c>
      <c r="C21">
        <f t="shared" ca="1" si="2"/>
        <v>0.5047964638732465</v>
      </c>
      <c r="D21" t="str" cm="1">
        <f t="array" aca="1" ref="D21" ca="1">_xll.OracPublish(B21,C21)</f>
        <v>Published Name: 19Y, Value: 0.504796463873247</v>
      </c>
      <c r="F21" t="str">
        <v>26Y</v>
      </c>
      <c r="G21">
        <v>0.63710530784667196</v>
      </c>
    </row>
    <row r="22" spans="1:7" x14ac:dyDescent="0.25">
      <c r="A22">
        <f t="shared" si="1"/>
        <v>20</v>
      </c>
      <c r="B22" t="str">
        <f t="shared" si="0"/>
        <v>20Y</v>
      </c>
      <c r="C22">
        <f t="shared" ca="1" si="2"/>
        <v>0.5047964638732465</v>
      </c>
      <c r="D22" t="str" cm="1">
        <f t="array" aca="1" ref="D22" ca="1">_xll.OracPublish(B22,C22)</f>
        <v>Published Name: 20Y, Value: 0.504796463873247</v>
      </c>
      <c r="F22" t="str">
        <v>5Y</v>
      </c>
      <c r="G22">
        <v>0.63710530784667196</v>
      </c>
    </row>
    <row r="23" spans="1:7" x14ac:dyDescent="0.25">
      <c r="A23">
        <f t="shared" si="1"/>
        <v>21</v>
      </c>
      <c r="B23" t="str">
        <f t="shared" si="0"/>
        <v>21Y</v>
      </c>
      <c r="C23">
        <f t="shared" ca="1" si="2"/>
        <v>0.5047964638732465</v>
      </c>
      <c r="D23" t="str" cm="1">
        <f t="array" aca="1" ref="D23" ca="1">_xll.OracPublish(B23,C23)</f>
        <v>Published Name: 21Y, Value: 0.504796463873247</v>
      </c>
      <c r="F23" t="str">
        <v>3Y</v>
      </c>
      <c r="G23">
        <v>0.63710530784667196</v>
      </c>
    </row>
    <row r="24" spans="1:7" x14ac:dyDescent="0.25">
      <c r="A24">
        <f t="shared" si="1"/>
        <v>22</v>
      </c>
      <c r="B24" t="str">
        <f t="shared" si="0"/>
        <v>22Y</v>
      </c>
      <c r="C24">
        <f t="shared" ca="1" si="2"/>
        <v>0.5047964638732465</v>
      </c>
      <c r="D24" t="str" cm="1">
        <f t="array" aca="1" ref="D24" ca="1">_xll.OracPublish(B24,C24)</f>
        <v>Published Name: 22Y, Value: 0.504796463873247</v>
      </c>
      <c r="F24" t="str">
        <v>22Y</v>
      </c>
      <c r="G24">
        <v>0.63710530784667196</v>
      </c>
    </row>
    <row r="25" spans="1:7" x14ac:dyDescent="0.25">
      <c r="A25">
        <f t="shared" si="1"/>
        <v>23</v>
      </c>
      <c r="B25" t="str">
        <f t="shared" si="0"/>
        <v>23Y</v>
      </c>
      <c r="C25">
        <f t="shared" ca="1" si="2"/>
        <v>0.5047964638732465</v>
      </c>
      <c r="D25" t="str" cm="1">
        <f t="array" aca="1" ref="D25" ca="1">_xll.OracPublish(B25,C25)</f>
        <v>Published Name: 23Y, Value: 0.504796463873247</v>
      </c>
      <c r="F25" t="str">
        <v>10Y</v>
      </c>
      <c r="G25">
        <v>0.63710530784667196</v>
      </c>
    </row>
    <row r="26" spans="1:7" x14ac:dyDescent="0.25">
      <c r="A26">
        <f t="shared" si="1"/>
        <v>24</v>
      </c>
      <c r="B26" t="str">
        <f t="shared" si="0"/>
        <v>24Y</v>
      </c>
      <c r="C26">
        <f t="shared" ca="1" si="2"/>
        <v>0.5047964638732465</v>
      </c>
      <c r="D26" t="str" cm="1">
        <f t="array" aca="1" ref="D26" ca="1">_xll.OracPublish(B26,C26)</f>
        <v>Published Name: 24Y, Value: 0.504796463873247</v>
      </c>
      <c r="F26" t="str">
        <v>13Y</v>
      </c>
      <c r="G26">
        <v>0.63710530784667196</v>
      </c>
    </row>
    <row r="27" spans="1:7" x14ac:dyDescent="0.25">
      <c r="A27">
        <f t="shared" si="1"/>
        <v>25</v>
      </c>
      <c r="B27" t="str">
        <f t="shared" si="0"/>
        <v>25Y</v>
      </c>
      <c r="C27">
        <f t="shared" ca="1" si="2"/>
        <v>0.5047964638732465</v>
      </c>
      <c r="D27" t="str" cm="1">
        <f t="array" aca="1" ref="D27" ca="1">_xll.OracPublish(B27,C27)</f>
        <v>Published Name: 25Y, Value: 0.504796463873247</v>
      </c>
      <c r="F27" t="str">
        <v>12Y</v>
      </c>
      <c r="G27">
        <v>0.63710530784667196</v>
      </c>
    </row>
    <row r="28" spans="1:7" x14ac:dyDescent="0.25">
      <c r="A28">
        <f t="shared" si="1"/>
        <v>26</v>
      </c>
      <c r="B28" t="str">
        <f t="shared" si="0"/>
        <v>26Y</v>
      </c>
      <c r="C28">
        <f t="shared" ca="1" si="2"/>
        <v>0.5047964638732465</v>
      </c>
      <c r="D28" t="str" cm="1">
        <f t="array" aca="1" ref="D28" ca="1">_xll.OracPublish(B28,C28)</f>
        <v>Published Name: 26Y, Value: 0.504796463873247</v>
      </c>
      <c r="F28" t="str">
        <v>11Y</v>
      </c>
      <c r="G28">
        <v>0.63710530784667196</v>
      </c>
    </row>
    <row r="29" spans="1:7" x14ac:dyDescent="0.25">
      <c r="A29">
        <f t="shared" si="1"/>
        <v>27</v>
      </c>
      <c r="B29" t="str">
        <f t="shared" si="0"/>
        <v>27Y</v>
      </c>
      <c r="C29">
        <f t="shared" ca="1" si="2"/>
        <v>0.5047964638732465</v>
      </c>
      <c r="D29" t="str" cm="1">
        <f t="array" aca="1" ref="D29" ca="1">_xll.OracPublish(B29,C29)</f>
        <v>Published Name: 27Y, Value: 0.504796463873247</v>
      </c>
      <c r="F29" t="str">
        <v>23Y</v>
      </c>
      <c r="G29">
        <v>0.63710530784667196</v>
      </c>
    </row>
    <row r="30" spans="1:7" x14ac:dyDescent="0.25">
      <c r="A30">
        <f t="shared" si="1"/>
        <v>28</v>
      </c>
      <c r="B30" t="str">
        <f t="shared" si="0"/>
        <v>28Y</v>
      </c>
      <c r="C30">
        <f t="shared" ca="1" si="2"/>
        <v>0.5047964638732465</v>
      </c>
      <c r="D30" t="str" cm="1">
        <f t="array" aca="1" ref="D30" ca="1">_xll.OracPublish(B30,C30)</f>
        <v>Published Name: 28Y, Value: 0.504796463873247</v>
      </c>
      <c r="F30" t="str">
        <v>7Y</v>
      </c>
      <c r="G30">
        <v>0.63710530784667196</v>
      </c>
    </row>
    <row r="31" spans="1:7" x14ac:dyDescent="0.25">
      <c r="A31">
        <f t="shared" si="1"/>
        <v>29</v>
      </c>
      <c r="B31" t="str">
        <f t="shared" si="0"/>
        <v>29Y</v>
      </c>
      <c r="C31">
        <f t="shared" ca="1" si="2"/>
        <v>0.5047964638732465</v>
      </c>
      <c r="D31" t="str" cm="1">
        <f t="array" aca="1" ref="D31" ca="1">_xll.OracPublish(B31,C31)</f>
        <v>Published Name: 29Y, Value: 0.504796463873247</v>
      </c>
      <c r="F31" t="str">
        <v>19Y</v>
      </c>
      <c r="G31">
        <v>0.63710530784667196</v>
      </c>
    </row>
    <row r="32" spans="1:7" x14ac:dyDescent="0.25">
      <c r="A32">
        <f t="shared" si="1"/>
        <v>30</v>
      </c>
      <c r="B32" t="str">
        <f t="shared" si="0"/>
        <v>30Y</v>
      </c>
      <c r="C32">
        <f t="shared" ca="1" si="2"/>
        <v>0.5047964638732465</v>
      </c>
      <c r="D32" t="str" cm="1">
        <f t="array" aca="1" ref="D32" ca="1">_xll.OracPublish(B32,C32)</f>
        <v>Published Name: 30Y, Value: 0.504796463873247</v>
      </c>
      <c r="F32" t="str">
        <v>25Y</v>
      </c>
      <c r="G32">
        <v>0.63710530784667196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Johnson-Perkins</dc:creator>
  <cp:lastModifiedBy>Robert Johnson-Perkins</cp:lastModifiedBy>
  <dcterms:created xsi:type="dcterms:W3CDTF">2020-11-18T19:43:43Z</dcterms:created>
  <dcterms:modified xsi:type="dcterms:W3CDTF">2020-11-19T23:20:55Z</dcterms:modified>
</cp:coreProperties>
</file>